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EstaPastaDeTrabalho" defaultThemeVersion="166925"/>
  <sheets>
    <sheet name="Cat" sheetId="1" r:id="rId1"/>
    <sheet name="Cmp" sheetId="2" r:id="rId2"/>
    <sheet name="Rul" sheetId="3" r:id="rId3"/>
    <sheet name="Eng" sheetId="4" r:id="rId4"/>
    <sheet name="Typ" sheetId="5" r:id="rId5"/>
    <sheet name="Map" sheetId="6" r:id="rId6"/>
    <sheet name="Own" sheetId="7" r:id="rId7"/>
    <sheet name="Dmn" sheetId="8" r:id="rId8"/>
    <sheet name="Msk" sheetId="9" r:id="rId9"/>
    <sheet name="Mkg" sheetId="10" r:id="rId10"/>
    <sheet name="Db" sheetId="11" r:id="rId11"/>
    <sheet name="Env" sheetId="12" r:id="rId12"/>
    <sheet name="Con" sheetId="13" r:id="rId13"/>
    <sheet name="Sys" sheetId="14" r:id="rId14"/>
    <sheet name="Mnu" sheetId="15" r:id="rId15"/>
    <sheet name="Tbl" sheetId="16" r:id="rId16"/>
    <sheet name="Col" sheetId="17" r:id="rId17"/>
    <sheet name="Idx" sheetId="18" r:id="rId18"/>
    <sheet name="Idk" sheetId="19" r:id="rId19"/>
    <sheet name="Inc" sheetId="20" r:id="rId20"/>
    <sheet name="Uni" sheetId="21" r:id="rId21"/>
    <sheet name="Exp" sheetId="22" r:id="rId22"/>
    <sheet name="Cnd" sheetId="23" r:id="rId23"/>
    <sheet name="Ref" sheetId="24" r:id="rId24"/>
    <sheet name="Rfk" sheetId="25" r:id="rId25"/>
    <sheet name="Usr" sheetId="26" r:id="rId26"/>
    <sheet name="Prm" sheetId="27" r:id="rId27"/>
    <sheet name="Prp" sheetId="28" r:id="rId28"/>
    <sheet name="Bhv" sheetId="29" r:id="rId29"/>
    <sheet name="Sch" sheetId="30" r:id="rId30"/>
    <sheet name="Snp" sheetId="31" r:id="rId31"/>
    <sheet name="Scr" sheetId="32" r:id="rId32"/>
    <sheet name="Url" sheetId="33" r:id="rId33"/>
    <sheet name="Ses" sheetId="34" r:id="rId34"/>
    <sheet name="Trs" sheetId="35" r:id="rId35"/>
    <sheet name="Ope" sheetId="36" r:id="rId36"/>
  </sheets>
  <definedNames>
    <definedName name="_xlnm._FilterDatabase" localSheetId="16" hidden="1">Col!$D$1:$D$134</definedName>
    <definedName name="_xlnm._FilterDatabase" localSheetId="5" hidden="1">Map!$A$1:$G$381</definedName>
    <definedName name="_xleta.AND" hidden="1">#NAME?</definedName>
    <definedName name="_xleta.IF" hidden="1">#NAME?</definedName>
    <definedName name="_xleta.N" hidden="1">#NAME?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theme" Target="theme/theme1.xml"/><Relationship Id="rId38" Type="http://schemas.openxmlformats.org/officeDocument/2006/relationships/styles" Target="styles.xml"/><Relationship Id="rId3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1"/>
  <sheetViews>
    <sheetView workbookViewId="0" rightToLeft="0"/>
  </sheetViews>
  <sheetData>
    <row r="1">
      <c r="A1" t="str">
        <v>*Id</v>
      </c>
      <c r="B1" t="str">
        <v>Name</v>
      </c>
      <c r="C1" t="str">
        <v>AskDefault</v>
      </c>
      <c r="D1" t="str">
        <v>AskMinimum</v>
      </c>
      <c r="E1" t="str">
        <v>AskMaximum</v>
      </c>
      <c r="F1" t="str">
        <v>AskInWords</v>
      </c>
      <c r="G1" t="str">
        <v>AskMask</v>
      </c>
      <c r="H1" t="str">
        <v>AskGridable</v>
      </c>
      <c r="I1" t="str">
        <v>AskFilterable</v>
      </c>
      <c r="J1" t="str">
        <v>AskEncrypted</v>
      </c>
      <c r="K1" t="str">
        <v>AskListable</v>
      </c>
    </row>
    <row r="2">
      <c r="A2">
        <f>ROW(A2)-1</f>
        <v>1</v>
      </c>
      <c r="B2" t="str">
        <v>string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>
      <c r="A3">
        <f>ROW(A3)-1</f>
        <v>2</v>
      </c>
      <c r="B3" t="str">
        <v>number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>
      <c r="A4">
        <f>ROW(A4)-1</f>
        <v>3</v>
      </c>
      <c r="B4" t="str">
        <v>date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>
      <c r="A5">
        <f>ROW(A5)-1</f>
        <v>4</v>
      </c>
      <c r="B5" t="str">
        <v>datetime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>
      <c r="A6">
        <f>ROW(A6)-1</f>
        <v>5</v>
      </c>
      <c r="B6" t="str">
        <v>time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>
      <c r="A7">
        <f>ROW(A7)-1</f>
        <v>6</v>
      </c>
      <c r="B7" t="str">
        <v>text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>
      <c r="A8">
        <f>ROW(A8)-1</f>
        <v>7</v>
      </c>
      <c r="B8" t="str">
        <v>boolean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>
      <c r="A9">
        <f>ROW(A9)-1</f>
        <v>8</v>
      </c>
      <c r="B9" t="str">
        <v>image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>
      <c r="A10">
        <v>9</v>
      </c>
      <c r="B10" t="str">
        <v>binary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>
      <c r="A11">
        <f>ROW(A11)-1</f>
        <v>10</v>
      </c>
      <c r="B11" t="str">
        <v>undefined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5" bottom="0.787401575" header="0.31496062" footer="0.31496062"/>
  <ignoredErrors>
    <ignoredError numberStoredAsText="1" sqref="A1:K1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D15"/>
  <sheetViews>
    <sheetView workbookViewId="0" rightToLeft="0"/>
  </sheetViews>
  <sheetData>
    <row r="1">
      <c r="A1" t="str">
        <v>*Id</v>
      </c>
      <c r="B1" t="str">
        <v>Symbol</v>
      </c>
      <c r="C1" t="str">
        <v>Description</v>
      </c>
      <c r="D1" t="str">
        <v>Arity</v>
      </c>
    </row>
    <row r="2">
      <c r="A2">
        <f>ROW(A2)-1</f>
        <v>1</v>
      </c>
      <c r="B2" t="str">
        <v>&lt;</v>
      </c>
      <c r="C2" t="str">
        <v>Menor</v>
      </c>
      <c r="D2">
        <v>2</v>
      </c>
    </row>
    <row r="3">
      <c r="A3">
        <f>ROW(A3)-1</f>
        <v>2</v>
      </c>
      <c r="B3" t="str">
        <v>≤</v>
      </c>
      <c r="C3" t="str">
        <v>Menor ou Igual</v>
      </c>
      <c r="D3">
        <v>2</v>
      </c>
    </row>
    <row r="4">
      <c r="A4">
        <f>ROW(A4)-1</f>
        <v>3</v>
      </c>
      <c r="B4" t="str">
        <v>=</v>
      </c>
      <c r="C4" t="str">
        <v>Igual</v>
      </c>
      <c r="D4">
        <v>2</v>
      </c>
    </row>
    <row r="5">
      <c r="A5">
        <f>ROW(A5)-1</f>
        <v>4</v>
      </c>
      <c r="B5" t="str">
        <v>≠</v>
      </c>
      <c r="C5" t="str">
        <v>Diferente</v>
      </c>
      <c r="D5">
        <v>2</v>
      </c>
    </row>
    <row r="6">
      <c r="A6">
        <f>ROW(A6)-1</f>
        <v>5</v>
      </c>
      <c r="B6" t="str">
        <v>≥</v>
      </c>
      <c r="C6" t="str">
        <v>Maior ou Igual</v>
      </c>
      <c r="D6">
        <v>2</v>
      </c>
    </row>
    <row r="7">
      <c r="A7">
        <f>ROW(A7)-1</f>
        <v>6</v>
      </c>
      <c r="B7" t="str">
        <v>&gt;</v>
      </c>
      <c r="C7" t="str">
        <v>Maior</v>
      </c>
      <c r="D7">
        <v>2</v>
      </c>
    </row>
    <row r="8">
      <c r="A8">
        <f>ROW(A8)-1</f>
        <v>7</v>
      </c>
      <c r="B8" t="str">
        <v>∈</v>
      </c>
      <c r="C8" t="str">
        <v>In</v>
      </c>
    </row>
    <row r="9">
      <c r="A9">
        <f>ROW(A9)-1</f>
        <v>8</v>
      </c>
      <c r="B9" t="str">
        <v>∉</v>
      </c>
      <c r="C9" t="str">
        <v>Not In</v>
      </c>
    </row>
    <row r="10">
      <c r="A10">
        <f>ROW(A10)-1</f>
        <v>9</v>
      </c>
      <c r="B10" t="str">
        <v>⊃</v>
      </c>
      <c r="C10" t="str">
        <v>Like</v>
      </c>
      <c r="D10">
        <v>2</v>
      </c>
    </row>
    <row r="11">
      <c r="A11">
        <f>ROW(A11)-1</f>
        <v>10</v>
      </c>
      <c r="B11" t="str">
        <v>⊅</v>
      </c>
      <c r="C11" t="str">
        <v>Not Like</v>
      </c>
      <c r="D11">
        <v>2</v>
      </c>
    </row>
    <row r="12">
      <c r="A12">
        <f>ROW(A12)-1</f>
        <v>11</v>
      </c>
      <c r="B12" t="str">
        <v>∃</v>
      </c>
      <c r="C12" t="str">
        <v>Between</v>
      </c>
      <c r="D12">
        <v>3</v>
      </c>
    </row>
    <row r="13">
      <c r="A13">
        <f>ROW(A13)-1</f>
        <v>12</v>
      </c>
      <c r="B13" t="str">
        <v>∄</v>
      </c>
      <c r="C13" t="str">
        <v>Not Between</v>
      </c>
      <c r="D13">
        <v>3</v>
      </c>
    </row>
    <row r="14">
      <c r="A14">
        <f>ROW(A14)-1</f>
        <v>13</v>
      </c>
      <c r="B14" t="str">
        <v>∅</v>
      </c>
      <c r="C14" t="str">
        <v>Is Null</v>
      </c>
      <c r="D14">
        <v>1</v>
      </c>
    </row>
    <row r="15">
      <c r="A15">
        <f>ROW(A15)-1</f>
        <v>14</v>
      </c>
      <c r="B15" t="str">
        <v>⊗</v>
      </c>
      <c r="C15" t="str">
        <v>Is Not Null</v>
      </c>
      <c r="D15">
        <v>1</v>
      </c>
    </row>
  </sheetData>
  <pageMargins left="0.511811024" right="0.511811024" top="0.787401575" bottom="0.787401575" header="0.31496062" footer="0.31496062"/>
  <ignoredErrors>
    <ignoredError numberStoredAsText="1" sqref="A1:D15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F69"/>
  <sheetViews>
    <sheetView workbookViewId="0" rightToLeft="0"/>
  </sheetViews>
  <sheetData>
    <row r="1">
      <c r="A1" t="str">
        <v>*Id</v>
      </c>
      <c r="B1" t="str">
        <v>CategoryId</v>
      </c>
      <c r="C1" t="str">
        <v>#CategoryName</v>
      </c>
      <c r="D1" t="str">
        <v>ComparatorId</v>
      </c>
      <c r="E1" t="str">
        <v>#ComparatorSymbol</v>
      </c>
      <c r="F1" t="str">
        <v>#ComparatorDescription</v>
      </c>
    </row>
    <row r="2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t="str" cm="1">
        <f t="array" ref="E2">GetValue("Cmp","Symbol",D2)</f>
        <v>&lt;</v>
      </c>
      <c r="F2" t="str" cm="1">
        <f t="array" ref="F2">GetValue("Cmp","Description",D2)</f>
        <v>Menor</v>
      </c>
    </row>
    <row r="3">
      <c r="A3">
        <f>ROW(A3)-1</f>
        <v>2</v>
      </c>
      <c r="B3">
        <v>1</v>
      </c>
      <c r="C3" t="str" cm="1">
        <f t="array" ref="C3">GetValue("Cat","Name",B3)</f>
        <v>string</v>
      </c>
      <c r="D3">
        <v>2</v>
      </c>
      <c r="E3" t="str" cm="1">
        <f t="array" ref="E3">GetValue("Cmp","Symbol",D3)</f>
        <v>≤</v>
      </c>
      <c r="F3" t="str" cm="1">
        <f t="array" ref="F3">GetValue("Cmp","Description",D3)</f>
        <v>Menor ou Igual</v>
      </c>
    </row>
    <row r="4">
      <c r="A4">
        <f>ROW(A4)-1</f>
        <v>3</v>
      </c>
      <c r="B4">
        <v>1</v>
      </c>
      <c r="C4" t="str" cm="1">
        <f t="array" ref="C4">GetValue("Cat","Name",B4)</f>
        <v>string</v>
      </c>
      <c r="D4">
        <v>3</v>
      </c>
      <c r="E4" t="str" cm="1">
        <f t="array" ref="E4">GetValue("Cmp","Symbol",D4)</f>
        <v>=</v>
      </c>
      <c r="F4" t="str" cm="1">
        <f t="array" ref="F4">GetValue("Cmp","Description",D4)</f>
        <v>Igual</v>
      </c>
    </row>
    <row r="5">
      <c r="A5">
        <f>ROW(A5)-1</f>
        <v>4</v>
      </c>
      <c r="B5">
        <v>1</v>
      </c>
      <c r="C5" t="str" cm="1">
        <f t="array" ref="C5">GetValue("Cat","Name",B5)</f>
        <v>string</v>
      </c>
      <c r="D5">
        <v>4</v>
      </c>
      <c r="E5" t="str" cm="1">
        <f t="array" ref="E5">GetValue("Cmp","Symbol",D5)</f>
        <v>≠</v>
      </c>
      <c r="F5" t="str" cm="1">
        <f t="array" ref="F5">GetValue("Cmp","Description",D5)</f>
        <v>Diferente</v>
      </c>
    </row>
    <row r="6">
      <c r="A6">
        <f>ROW(A6)-1</f>
        <v>5</v>
      </c>
      <c r="B6">
        <v>1</v>
      </c>
      <c r="C6" t="str" cm="1">
        <f t="array" ref="C6">GetValue("Cat","Name",B6)</f>
        <v>string</v>
      </c>
      <c r="D6">
        <v>5</v>
      </c>
      <c r="E6" t="str" cm="1">
        <f t="array" ref="E6">GetValue("Cmp","Symbol",D6)</f>
        <v>≥</v>
      </c>
      <c r="F6" t="str" cm="1">
        <f t="array" ref="F6">GetValue("Cmp","Description",D6)</f>
        <v>Maior ou Igual</v>
      </c>
    </row>
    <row r="7">
      <c r="A7">
        <f>ROW(A7)-1</f>
        <v>6</v>
      </c>
      <c r="B7">
        <v>1</v>
      </c>
      <c r="C7" t="str" cm="1">
        <f t="array" ref="C7">GetValue("Cat","Name",B7)</f>
        <v>string</v>
      </c>
      <c r="D7">
        <v>6</v>
      </c>
      <c r="E7" t="str" cm="1">
        <f t="array" ref="E7">GetValue("Cmp","Symbol",D7)</f>
        <v>&gt;</v>
      </c>
      <c r="F7" t="str" cm="1">
        <f t="array" ref="F7">GetValue("Cmp","Description",D7)</f>
        <v>Maior</v>
      </c>
    </row>
    <row r="8">
      <c r="A8">
        <f>ROW(A8)-1</f>
        <v>7</v>
      </c>
      <c r="B8">
        <v>1</v>
      </c>
      <c r="C8" t="str" cm="1">
        <f t="array" ref="C8">GetValue("Cat","Name",B8)</f>
        <v>string</v>
      </c>
      <c r="D8">
        <v>7</v>
      </c>
      <c r="E8" t="str" cm="1">
        <f t="array" ref="E8">GetValue("Cmp","Symbol",D8)</f>
        <v>∈</v>
      </c>
      <c r="F8" t="str" cm="1">
        <f t="array" ref="F8">GetValue("Cmp","Description",D8)</f>
        <v>In</v>
      </c>
    </row>
    <row r="9">
      <c r="A9">
        <f>ROW(A9)-1</f>
        <v>8</v>
      </c>
      <c r="B9">
        <v>1</v>
      </c>
      <c r="C9" t="str" cm="1">
        <f t="array" ref="C9">GetValue("Cat","Name",B9)</f>
        <v>string</v>
      </c>
      <c r="D9">
        <v>8</v>
      </c>
      <c r="E9" t="str" cm="1">
        <f t="array" ref="E9">GetValue("Cmp","Symbol",D9)</f>
        <v>∉</v>
      </c>
      <c r="F9" t="str" cm="1">
        <f t="array" ref="F9">GetValue("Cmp","Description",D9)</f>
        <v>Not In</v>
      </c>
    </row>
    <row r="10">
      <c r="A10">
        <f>ROW(A10)-1</f>
        <v>9</v>
      </c>
      <c r="B10">
        <v>1</v>
      </c>
      <c r="C10" t="str" cm="1">
        <f t="array" ref="C10">GetValue("Cat","Name",B10)</f>
        <v>string</v>
      </c>
      <c r="D10">
        <v>9</v>
      </c>
      <c r="E10" t="str" cm="1">
        <f t="array" ref="E10">GetValue("Cmp","Symbol",D10)</f>
        <v>⊃</v>
      </c>
      <c r="F10" t="str" cm="1">
        <f t="array" ref="F10">GetValue("Cmp","Description",D10)</f>
        <v>Like</v>
      </c>
    </row>
    <row r="11">
      <c r="A11">
        <f>ROW(A11)-1</f>
        <v>10</v>
      </c>
      <c r="B11">
        <v>1</v>
      </c>
      <c r="C11" t="str" cm="1">
        <f t="array" ref="C11">GetValue("Cat","Name",B11)</f>
        <v>string</v>
      </c>
      <c r="D11">
        <v>10</v>
      </c>
      <c r="E11" t="str" cm="1">
        <f t="array" ref="E11">GetValue("Cmp","Symbol",D11)</f>
        <v>⊅</v>
      </c>
      <c r="F11" t="str" cm="1">
        <f t="array" ref="F11">GetValue("Cmp","Description",D11)</f>
        <v>Not Like</v>
      </c>
    </row>
    <row r="12">
      <c r="A12">
        <f>ROW(A12)-1</f>
        <v>11</v>
      </c>
      <c r="B12">
        <v>1</v>
      </c>
      <c r="C12" t="str" cm="1">
        <f t="array" ref="C12">GetValue("Cat","Name",B12)</f>
        <v>string</v>
      </c>
      <c r="D12">
        <v>11</v>
      </c>
      <c r="E12" t="str" cm="1">
        <f t="array" ref="E12">GetValue("Cmp","Symbol",D12)</f>
        <v>∃</v>
      </c>
      <c r="F12" t="str" cm="1">
        <f t="array" ref="F12">GetValue("Cmp","Description",D12)</f>
        <v>Between</v>
      </c>
    </row>
    <row r="13">
      <c r="A13">
        <f>ROW(A13)-1</f>
        <v>12</v>
      </c>
      <c r="B13">
        <v>1</v>
      </c>
      <c r="C13" t="str" cm="1">
        <f t="array" ref="C13">GetValue("Cat","Name",B13)</f>
        <v>string</v>
      </c>
      <c r="D13">
        <v>12</v>
      </c>
      <c r="E13" t="str" cm="1">
        <f t="array" ref="E13">GetValue("Cmp","Symbol",D13)</f>
        <v>∄</v>
      </c>
      <c r="F13" t="str" cm="1">
        <f t="array" ref="F13">GetValue("Cmp","Description",D13)</f>
        <v>Not Between</v>
      </c>
    </row>
    <row r="14">
      <c r="A14">
        <f>ROW(A14)-1</f>
        <v>13</v>
      </c>
      <c r="B14">
        <v>1</v>
      </c>
      <c r="C14" t="str" cm="1">
        <f t="array" ref="C14">GetValue("Cat","Name",B14)</f>
        <v>string</v>
      </c>
      <c r="D14">
        <v>13</v>
      </c>
      <c r="E14" t="str" cm="1">
        <f t="array" ref="E14">GetValue("Cmp","Symbol",D14)</f>
        <v>∅</v>
      </c>
      <c r="F14" t="str" cm="1">
        <f t="array" ref="F14">GetValue("Cmp","Description",D14)</f>
        <v>Is Null</v>
      </c>
    </row>
    <row r="15">
      <c r="A15">
        <f>ROW(A15)-1</f>
        <v>14</v>
      </c>
      <c r="B15">
        <v>1</v>
      </c>
      <c r="C15" t="str" cm="1">
        <f t="array" ref="C15">GetValue("Cat","Name",B15)</f>
        <v>string</v>
      </c>
      <c r="D15">
        <v>14</v>
      </c>
      <c r="E15" t="str" cm="1">
        <f t="array" ref="E15">GetValue("Cmp","Symbol",D15)</f>
        <v>⊗</v>
      </c>
      <c r="F15" t="str" cm="1">
        <f t="array" ref="F15">GetValue("Cmp","Description",D15)</f>
        <v>Is Not Null</v>
      </c>
    </row>
    <row r="16">
      <c r="A16">
        <f>ROW(A16)-1</f>
        <v>15</v>
      </c>
      <c r="B16">
        <v>2</v>
      </c>
      <c r="C16" t="str" cm="1">
        <f t="array" ref="C16">GetValue("Cat","Name",B16)</f>
        <v>number</v>
      </c>
      <c r="D16">
        <v>1</v>
      </c>
      <c r="E16" t="str" cm="1">
        <f t="array" ref="E16">GetValue("Cmp","Symbol",D16)</f>
        <v>&lt;</v>
      </c>
      <c r="F16" t="str" cm="1">
        <f t="array" ref="F16">GetValue("Cmp","Description",D16)</f>
        <v>Menor</v>
      </c>
    </row>
    <row r="17">
      <c r="A17">
        <f>ROW(A17)-1</f>
        <v>16</v>
      </c>
      <c r="B17">
        <v>2</v>
      </c>
      <c r="C17" t="str" cm="1">
        <f t="array" ref="C17">GetValue("Cat","Name",B17)</f>
        <v>number</v>
      </c>
      <c r="D17">
        <v>2</v>
      </c>
      <c r="E17" t="str" cm="1">
        <f t="array" ref="E17">GetValue("Cmp","Symbol",D17)</f>
        <v>≤</v>
      </c>
      <c r="F17" t="str" cm="1">
        <f t="array" ref="F17">GetValue("Cmp","Description",D17)</f>
        <v>Menor ou Igual</v>
      </c>
    </row>
    <row r="18">
      <c r="A18">
        <f>ROW(A18)-1</f>
        <v>17</v>
      </c>
      <c r="B18">
        <v>2</v>
      </c>
      <c r="C18" t="str" cm="1">
        <f t="array" ref="C18">GetValue("Cat","Name",B18)</f>
        <v>number</v>
      </c>
      <c r="D18">
        <v>3</v>
      </c>
      <c r="E18" t="str" cm="1">
        <f t="array" ref="E18">GetValue("Cmp","Symbol",D18)</f>
        <v>=</v>
      </c>
      <c r="F18" t="str" cm="1">
        <f t="array" ref="F18">GetValue("Cmp","Description",D18)</f>
        <v>Igual</v>
      </c>
    </row>
    <row r="19">
      <c r="A19">
        <f>ROW(A19)-1</f>
        <v>18</v>
      </c>
      <c r="B19">
        <v>2</v>
      </c>
      <c r="C19" t="str" cm="1">
        <f t="array" ref="C19">GetValue("Cat","Name",B19)</f>
        <v>number</v>
      </c>
      <c r="D19">
        <v>4</v>
      </c>
      <c r="E19" t="str" cm="1">
        <f t="array" ref="E19">GetValue("Cmp","Symbol",D19)</f>
        <v>≠</v>
      </c>
      <c r="F19" t="str" cm="1">
        <f t="array" ref="F19">GetValue("Cmp","Description",D19)</f>
        <v>Diferente</v>
      </c>
    </row>
    <row r="20">
      <c r="A20">
        <f>ROW(A20)-1</f>
        <v>19</v>
      </c>
      <c r="B20">
        <v>2</v>
      </c>
      <c r="C20" t="str" cm="1">
        <f t="array" ref="C20">GetValue("Cat","Name",B20)</f>
        <v>number</v>
      </c>
      <c r="D20">
        <v>5</v>
      </c>
      <c r="E20" t="str" cm="1">
        <f t="array" ref="E20">GetValue("Cmp","Symbol",D20)</f>
        <v>≥</v>
      </c>
      <c r="F20" t="str" cm="1">
        <f t="array" ref="F20">GetValue("Cmp","Description",D20)</f>
        <v>Maior ou Igual</v>
      </c>
    </row>
    <row r="21">
      <c r="A21">
        <f>ROW(A21)-1</f>
        <v>20</v>
      </c>
      <c r="B21">
        <v>2</v>
      </c>
      <c r="C21" t="str" cm="1">
        <f t="array" ref="C21">GetValue("Cat","Name",B21)</f>
        <v>number</v>
      </c>
      <c r="D21">
        <v>6</v>
      </c>
      <c r="E21" t="str" cm="1">
        <f t="array" ref="E21">GetValue("Cmp","Symbol",D21)</f>
        <v>&gt;</v>
      </c>
      <c r="F21" t="str" cm="1">
        <f t="array" ref="F21">GetValue("Cmp","Description",D21)</f>
        <v>Maior</v>
      </c>
    </row>
    <row r="22">
      <c r="A22">
        <f>ROW(A22)-1</f>
        <v>21</v>
      </c>
      <c r="B22">
        <v>2</v>
      </c>
      <c r="C22" t="str" cm="1">
        <f t="array" ref="C22">GetValue("Cat","Name",B22)</f>
        <v>number</v>
      </c>
      <c r="D22">
        <v>7</v>
      </c>
      <c r="E22" t="str" cm="1">
        <f t="array" ref="E22">GetValue("Cmp","Symbol",D22)</f>
        <v>∈</v>
      </c>
      <c r="F22" t="str" cm="1">
        <f t="array" ref="F22">GetValue("Cmp","Description",D22)</f>
        <v>In</v>
      </c>
    </row>
    <row r="23">
      <c r="A23">
        <f>ROW(A23)-1</f>
        <v>22</v>
      </c>
      <c r="B23">
        <v>2</v>
      </c>
      <c r="C23" t="str" cm="1">
        <f t="array" ref="C23">GetValue("Cat","Name",B23)</f>
        <v>number</v>
      </c>
      <c r="D23">
        <v>8</v>
      </c>
      <c r="E23" t="str" cm="1">
        <f t="array" ref="E23">GetValue("Cmp","Symbol",D23)</f>
        <v>∉</v>
      </c>
      <c r="F23" t="str" cm="1">
        <f t="array" ref="F23">GetValue("Cmp","Description",D23)</f>
        <v>Not In</v>
      </c>
    </row>
    <row r="24">
      <c r="A24">
        <f>ROW(A24)-1</f>
        <v>23</v>
      </c>
      <c r="B24">
        <v>2</v>
      </c>
      <c r="C24" t="str" cm="1">
        <f t="array" ref="C24">GetValue("Cat","Name",B24)</f>
        <v>number</v>
      </c>
      <c r="D24">
        <v>11</v>
      </c>
      <c r="E24" t="str" cm="1">
        <f t="array" ref="E24">GetValue("Cmp","Symbol",D24)</f>
        <v>∃</v>
      </c>
      <c r="F24" t="str" cm="1">
        <f t="array" ref="F24">GetValue("Cmp","Description",D24)</f>
        <v>Between</v>
      </c>
    </row>
    <row r="25">
      <c r="A25">
        <f>ROW(A25)-1</f>
        <v>24</v>
      </c>
      <c r="B25">
        <v>2</v>
      </c>
      <c r="C25" t="str" cm="1">
        <f t="array" ref="C25">GetValue("Cat","Name",B25)</f>
        <v>number</v>
      </c>
      <c r="D25">
        <v>12</v>
      </c>
      <c r="E25" t="str" cm="1">
        <f t="array" ref="E25">GetValue("Cmp","Symbol",D25)</f>
        <v>∄</v>
      </c>
      <c r="F25" t="str" cm="1">
        <f t="array" ref="F25">GetValue("Cmp","Description",D25)</f>
        <v>Not Between</v>
      </c>
    </row>
    <row r="26">
      <c r="A26">
        <f>ROW(A26)-1</f>
        <v>25</v>
      </c>
      <c r="B26">
        <v>2</v>
      </c>
      <c r="C26" t="str" cm="1">
        <f t="array" ref="C26">GetValue("Cat","Name",B26)</f>
        <v>number</v>
      </c>
      <c r="D26">
        <v>13</v>
      </c>
      <c r="E26" t="str" cm="1">
        <f t="array" ref="E26">GetValue("Cmp","Symbol",D26)</f>
        <v>∅</v>
      </c>
      <c r="F26" t="str" cm="1">
        <f t="array" ref="F26">GetValue("Cmp","Description",D26)</f>
        <v>Is Null</v>
      </c>
    </row>
    <row r="27">
      <c r="A27">
        <f>ROW(A27)-1</f>
        <v>26</v>
      </c>
      <c r="B27">
        <v>2</v>
      </c>
      <c r="C27" t="str" cm="1">
        <f t="array" ref="C27">GetValue("Cat","Name",B27)</f>
        <v>number</v>
      </c>
      <c r="D27">
        <v>14</v>
      </c>
      <c r="E27" t="str" cm="1">
        <f t="array" ref="E27">GetValue("Cmp","Symbol",D27)</f>
        <v>⊗</v>
      </c>
      <c r="F27" t="str" cm="1">
        <f t="array" ref="F27">GetValue("Cmp","Description",D27)</f>
        <v>Is Not Null</v>
      </c>
    </row>
    <row r="28">
      <c r="A28">
        <f>ROW(A28)-1</f>
        <v>27</v>
      </c>
      <c r="B28">
        <v>3</v>
      </c>
      <c r="C28" t="str" cm="1">
        <f t="array" ref="C28">GetValue("Cat","Name",B28)</f>
        <v>date</v>
      </c>
      <c r="D28">
        <v>1</v>
      </c>
      <c r="E28" t="str" cm="1">
        <f t="array" ref="E28">GetValue("Cmp","Symbol",D28)</f>
        <v>&lt;</v>
      </c>
      <c r="F28" t="str" cm="1">
        <f t="array" ref="F28">GetValue("Cmp","Description",D28)</f>
        <v>Menor</v>
      </c>
    </row>
    <row r="29">
      <c r="A29">
        <f>ROW(A29)-1</f>
        <v>28</v>
      </c>
      <c r="B29">
        <v>3</v>
      </c>
      <c r="C29" t="str" cm="1">
        <f t="array" ref="C29">GetValue("Cat","Name",B29)</f>
        <v>date</v>
      </c>
      <c r="D29">
        <v>2</v>
      </c>
      <c r="E29" t="str" cm="1">
        <f t="array" ref="E29">GetValue("Cmp","Symbol",D29)</f>
        <v>≤</v>
      </c>
      <c r="F29" t="str" cm="1">
        <f t="array" ref="F29">GetValue("Cmp","Description",D29)</f>
        <v>Menor ou Igual</v>
      </c>
    </row>
    <row r="30">
      <c r="A30">
        <f>ROW(A30)-1</f>
        <v>29</v>
      </c>
      <c r="B30">
        <v>3</v>
      </c>
      <c r="C30" t="str" cm="1">
        <f t="array" ref="C30">GetValue("Cat","Name",B30)</f>
        <v>date</v>
      </c>
      <c r="D30">
        <v>3</v>
      </c>
      <c r="E30" t="str" cm="1">
        <f t="array" ref="E30">GetValue("Cmp","Symbol",D30)</f>
        <v>=</v>
      </c>
      <c r="F30" t="str" cm="1">
        <f t="array" ref="F30">GetValue("Cmp","Description",D30)</f>
        <v>Igual</v>
      </c>
    </row>
    <row r="31">
      <c r="A31">
        <f>ROW(A31)-1</f>
        <v>30</v>
      </c>
      <c r="B31">
        <v>3</v>
      </c>
      <c r="C31" t="str" cm="1">
        <f t="array" ref="C31">GetValue("Cat","Name",B31)</f>
        <v>date</v>
      </c>
      <c r="D31">
        <v>4</v>
      </c>
      <c r="E31" t="str" cm="1">
        <f t="array" ref="E31">GetValue("Cmp","Symbol",D31)</f>
        <v>≠</v>
      </c>
      <c r="F31" t="str" cm="1">
        <f t="array" ref="F31">GetValue("Cmp","Description",D31)</f>
        <v>Diferente</v>
      </c>
    </row>
    <row r="32">
      <c r="A32">
        <f>ROW(A32)-1</f>
        <v>31</v>
      </c>
      <c r="B32">
        <v>3</v>
      </c>
      <c r="C32" t="str" cm="1">
        <f t="array" ref="C32">GetValue("Cat","Name",B32)</f>
        <v>date</v>
      </c>
      <c r="D32">
        <v>5</v>
      </c>
      <c r="E32" t="str" cm="1">
        <f t="array" ref="E32">GetValue("Cmp","Symbol",D32)</f>
        <v>≥</v>
      </c>
      <c r="F32" t="str" cm="1">
        <f t="array" ref="F32">GetValue("Cmp","Description",D32)</f>
        <v>Maior ou Igual</v>
      </c>
    </row>
    <row r="33">
      <c r="A33">
        <f>ROW(A33)-1</f>
        <v>32</v>
      </c>
      <c r="B33">
        <v>3</v>
      </c>
      <c r="C33" t="str" cm="1">
        <f t="array" ref="C33">GetValue("Cat","Name",B33)</f>
        <v>date</v>
      </c>
      <c r="D33">
        <v>6</v>
      </c>
      <c r="E33" t="str" cm="1">
        <f t="array" ref="E33">GetValue("Cmp","Symbol",D33)</f>
        <v>&gt;</v>
      </c>
      <c r="F33" t="str" cm="1">
        <f t="array" ref="F33">GetValue("Cmp","Description",D33)</f>
        <v>Maior</v>
      </c>
    </row>
    <row r="34">
      <c r="A34">
        <f>ROW(A34)-1</f>
        <v>33</v>
      </c>
      <c r="B34">
        <v>3</v>
      </c>
      <c r="C34" t="str" cm="1">
        <f t="array" ref="C34">GetValue("Cat","Name",B34)</f>
        <v>date</v>
      </c>
      <c r="D34">
        <v>7</v>
      </c>
      <c r="E34" t="str" cm="1">
        <f t="array" ref="E34">GetValue("Cmp","Symbol",D34)</f>
        <v>∈</v>
      </c>
      <c r="F34" t="str" cm="1">
        <f t="array" ref="F34">GetValue("Cmp","Description",D34)</f>
        <v>In</v>
      </c>
    </row>
    <row r="35">
      <c r="A35">
        <f>ROW(A35)-1</f>
        <v>34</v>
      </c>
      <c r="B35">
        <v>3</v>
      </c>
      <c r="C35" t="str" cm="1">
        <f t="array" ref="C35">GetValue("Cat","Name",B35)</f>
        <v>date</v>
      </c>
      <c r="D35">
        <v>8</v>
      </c>
      <c r="E35" t="str" cm="1">
        <f t="array" ref="E35">GetValue("Cmp","Symbol",D35)</f>
        <v>∉</v>
      </c>
      <c r="F35" t="str" cm="1">
        <f t="array" ref="F35">GetValue("Cmp","Description",D35)</f>
        <v>Not In</v>
      </c>
    </row>
    <row r="36">
      <c r="A36">
        <f>ROW(A36)-1</f>
        <v>35</v>
      </c>
      <c r="B36">
        <v>3</v>
      </c>
      <c r="C36" t="str" cm="1">
        <f t="array" ref="C36">GetValue("Cat","Name",B36)</f>
        <v>date</v>
      </c>
      <c r="D36">
        <v>11</v>
      </c>
      <c r="E36" t="str" cm="1">
        <f t="array" ref="E36">GetValue("Cmp","Symbol",D36)</f>
        <v>∃</v>
      </c>
      <c r="F36" t="str" cm="1">
        <f t="array" ref="F36">GetValue("Cmp","Description",D36)</f>
        <v>Between</v>
      </c>
    </row>
    <row r="37">
      <c r="A37">
        <f>ROW(A37)-1</f>
        <v>36</v>
      </c>
      <c r="B37">
        <v>3</v>
      </c>
      <c r="C37" t="str" cm="1">
        <f t="array" ref="C37">GetValue("Cat","Name",B37)</f>
        <v>date</v>
      </c>
      <c r="D37">
        <v>12</v>
      </c>
      <c r="E37" t="str" cm="1">
        <f t="array" ref="E37">GetValue("Cmp","Symbol",D37)</f>
        <v>∄</v>
      </c>
      <c r="F37" t="str" cm="1">
        <f t="array" ref="F37">GetValue("Cmp","Description",D37)</f>
        <v>Not Between</v>
      </c>
    </row>
    <row r="38">
      <c r="A38">
        <f>ROW(A38)-1</f>
        <v>37</v>
      </c>
      <c r="B38">
        <v>3</v>
      </c>
      <c r="C38" t="str" cm="1">
        <f t="array" ref="C38">GetValue("Cat","Name",B38)</f>
        <v>date</v>
      </c>
      <c r="D38">
        <v>13</v>
      </c>
      <c r="E38" t="str" cm="1">
        <f t="array" ref="E38">GetValue("Cmp","Symbol",D38)</f>
        <v>∅</v>
      </c>
      <c r="F38" t="str" cm="1">
        <f t="array" ref="F38">GetValue("Cmp","Description",D38)</f>
        <v>Is Null</v>
      </c>
    </row>
    <row r="39">
      <c r="A39">
        <f>ROW(A39)-1</f>
        <v>38</v>
      </c>
      <c r="B39">
        <v>3</v>
      </c>
      <c r="C39" t="str" cm="1">
        <f t="array" ref="C39">GetValue("Cat","Name",B39)</f>
        <v>date</v>
      </c>
      <c r="D39">
        <v>14</v>
      </c>
      <c r="E39" t="str" cm="1">
        <f t="array" ref="E39">GetValue("Cmp","Symbol",D39)</f>
        <v>⊗</v>
      </c>
      <c r="F39" t="str" cm="1">
        <f t="array" ref="F39">GetValue("Cmp","Description",D39)</f>
        <v>Is Not Null</v>
      </c>
    </row>
    <row r="40">
      <c r="A40">
        <f>ROW(A40)-1</f>
        <v>39</v>
      </c>
      <c r="B40">
        <v>4</v>
      </c>
      <c r="C40" t="str" cm="1">
        <f t="array" ref="C40">GetValue("Cat","Name",B40)</f>
        <v>datetime</v>
      </c>
      <c r="D40">
        <v>1</v>
      </c>
      <c r="E40" t="str" cm="1">
        <f t="array" ref="E40">GetValue("Cmp","Symbol",D40)</f>
        <v>&lt;</v>
      </c>
      <c r="F40" t="str" cm="1">
        <f t="array" ref="F40">GetValue("Cmp","Description",D40)</f>
        <v>Menor</v>
      </c>
    </row>
    <row r="41">
      <c r="A41">
        <f>ROW(A41)-1</f>
        <v>40</v>
      </c>
      <c r="B41">
        <v>4</v>
      </c>
      <c r="C41" t="str" cm="1">
        <f t="array" ref="C41">GetValue("Cat","Name",B41)</f>
        <v>datetime</v>
      </c>
      <c r="D41">
        <v>2</v>
      </c>
      <c r="E41" t="str" cm="1">
        <f t="array" ref="E41">GetValue("Cmp","Symbol",D41)</f>
        <v>≤</v>
      </c>
      <c r="F41" t="str" cm="1">
        <f t="array" ref="F41">GetValue("Cmp","Description",D41)</f>
        <v>Menor ou Igual</v>
      </c>
    </row>
    <row r="42">
      <c r="A42">
        <f>ROW(A42)-1</f>
        <v>41</v>
      </c>
      <c r="B42">
        <v>4</v>
      </c>
      <c r="C42" t="str" cm="1">
        <f t="array" ref="C42">GetValue("Cat","Name",B42)</f>
        <v>datetime</v>
      </c>
      <c r="D42">
        <v>3</v>
      </c>
      <c r="E42" t="str" cm="1">
        <f t="array" ref="E42">GetValue("Cmp","Symbol",D42)</f>
        <v>=</v>
      </c>
      <c r="F42" t="str" cm="1">
        <f t="array" ref="F42">GetValue("Cmp","Description",D42)</f>
        <v>Igual</v>
      </c>
    </row>
    <row r="43">
      <c r="A43">
        <f>ROW(A43)-1</f>
        <v>42</v>
      </c>
      <c r="B43">
        <v>4</v>
      </c>
      <c r="C43" t="str" cm="1">
        <f t="array" ref="C43">GetValue("Cat","Name",B43)</f>
        <v>datetime</v>
      </c>
      <c r="D43">
        <v>4</v>
      </c>
      <c r="E43" t="str" cm="1">
        <f t="array" ref="E43">GetValue("Cmp","Symbol",D43)</f>
        <v>≠</v>
      </c>
      <c r="F43" t="str" cm="1">
        <f t="array" ref="F43">GetValue("Cmp","Description",D43)</f>
        <v>Diferente</v>
      </c>
    </row>
    <row r="44">
      <c r="A44">
        <f>ROW(A44)-1</f>
        <v>43</v>
      </c>
      <c r="B44">
        <v>4</v>
      </c>
      <c r="C44" t="str" cm="1">
        <f t="array" ref="C44">GetValue("Cat","Name",B44)</f>
        <v>datetime</v>
      </c>
      <c r="D44">
        <v>5</v>
      </c>
      <c r="E44" t="str" cm="1">
        <f t="array" ref="E44">GetValue("Cmp","Symbol",D44)</f>
        <v>≥</v>
      </c>
      <c r="F44" t="str" cm="1">
        <f t="array" ref="F44">GetValue("Cmp","Description",D44)</f>
        <v>Maior ou Igual</v>
      </c>
    </row>
    <row r="45">
      <c r="A45">
        <f>ROW(A45)-1</f>
        <v>44</v>
      </c>
      <c r="B45">
        <v>4</v>
      </c>
      <c r="C45" t="str" cm="1">
        <f t="array" ref="C45">GetValue("Cat","Name",B45)</f>
        <v>datetime</v>
      </c>
      <c r="D45">
        <v>6</v>
      </c>
      <c r="E45" t="str" cm="1">
        <f t="array" ref="E45">GetValue("Cmp","Symbol",D45)</f>
        <v>&gt;</v>
      </c>
      <c r="F45" t="str" cm="1">
        <f t="array" ref="F45">GetValue("Cmp","Description",D45)</f>
        <v>Maior</v>
      </c>
    </row>
    <row r="46">
      <c r="A46">
        <f>ROW(A46)-1</f>
        <v>45</v>
      </c>
      <c r="B46">
        <v>4</v>
      </c>
      <c r="C46" t="str" cm="1">
        <f t="array" ref="C46">GetValue("Cat","Name",B46)</f>
        <v>datetime</v>
      </c>
      <c r="D46">
        <v>7</v>
      </c>
      <c r="E46" t="str" cm="1">
        <f t="array" ref="E46">GetValue("Cmp","Symbol",D46)</f>
        <v>∈</v>
      </c>
      <c r="F46" t="str" cm="1">
        <f t="array" ref="F46">GetValue("Cmp","Description",D46)</f>
        <v>In</v>
      </c>
    </row>
    <row r="47">
      <c r="A47">
        <f>ROW(A47)-1</f>
        <v>46</v>
      </c>
      <c r="B47">
        <v>4</v>
      </c>
      <c r="C47" t="str" cm="1">
        <f t="array" ref="C47">GetValue("Cat","Name",B47)</f>
        <v>datetime</v>
      </c>
      <c r="D47">
        <v>8</v>
      </c>
      <c r="E47" t="str" cm="1">
        <f t="array" ref="E47">GetValue("Cmp","Symbol",D47)</f>
        <v>∉</v>
      </c>
      <c r="F47" t="str" cm="1">
        <f t="array" ref="F47">GetValue("Cmp","Description",D47)</f>
        <v>Not In</v>
      </c>
    </row>
    <row r="48">
      <c r="A48">
        <f>ROW(A48)-1</f>
        <v>47</v>
      </c>
      <c r="B48">
        <v>4</v>
      </c>
      <c r="C48" t="str" cm="1">
        <f t="array" ref="C48">GetValue("Cat","Name",B48)</f>
        <v>datetime</v>
      </c>
      <c r="D48">
        <v>11</v>
      </c>
      <c r="E48" t="str" cm="1">
        <f t="array" ref="E48">GetValue("Cmp","Symbol",D48)</f>
        <v>∃</v>
      </c>
      <c r="F48" t="str" cm="1">
        <f t="array" ref="F48">GetValue("Cmp","Description",D48)</f>
        <v>Between</v>
      </c>
    </row>
    <row r="49">
      <c r="A49">
        <f>ROW(A49)-1</f>
        <v>48</v>
      </c>
      <c r="B49">
        <v>4</v>
      </c>
      <c r="C49" t="str" cm="1">
        <f t="array" ref="C49">GetValue("Cat","Name",B49)</f>
        <v>datetime</v>
      </c>
      <c r="D49">
        <v>12</v>
      </c>
      <c r="E49" t="str" cm="1">
        <f t="array" ref="E49">GetValue("Cmp","Symbol",D49)</f>
        <v>∄</v>
      </c>
      <c r="F49" t="str" cm="1">
        <f t="array" ref="F49">GetValue("Cmp","Description",D49)</f>
        <v>Not Between</v>
      </c>
    </row>
    <row r="50">
      <c r="A50">
        <f>ROW(A50)-1</f>
        <v>49</v>
      </c>
      <c r="B50">
        <v>4</v>
      </c>
      <c r="C50" t="str" cm="1">
        <f t="array" ref="C50">GetValue("Cat","Name",B50)</f>
        <v>datetime</v>
      </c>
      <c r="D50">
        <v>13</v>
      </c>
      <c r="E50" t="str" cm="1">
        <f t="array" ref="E50">GetValue("Cmp","Symbol",D50)</f>
        <v>∅</v>
      </c>
      <c r="F50" t="str" cm="1">
        <f t="array" ref="F50">GetValue("Cmp","Description",D50)</f>
        <v>Is Null</v>
      </c>
    </row>
    <row r="51">
      <c r="A51">
        <f>ROW(A51)-1</f>
        <v>50</v>
      </c>
      <c r="B51">
        <v>4</v>
      </c>
      <c r="C51" t="str" cm="1">
        <f t="array" ref="C51">GetValue("Cat","Name",B51)</f>
        <v>datetime</v>
      </c>
      <c r="D51">
        <v>14</v>
      </c>
      <c r="E51" t="str" cm="1">
        <f t="array" ref="E51">GetValue("Cmp","Symbol",D51)</f>
        <v>⊗</v>
      </c>
      <c r="F51" t="str" cm="1">
        <f t="array" ref="F51">GetValue("Cmp","Description",D51)</f>
        <v>Is Not Null</v>
      </c>
    </row>
    <row r="52">
      <c r="A52">
        <f>ROW(A52)-1</f>
        <v>51</v>
      </c>
      <c r="B52">
        <v>5</v>
      </c>
      <c r="C52" t="str" cm="1">
        <f t="array" ref="C52">GetValue("Cat","Name",B52)</f>
        <v>time</v>
      </c>
      <c r="D52">
        <v>1</v>
      </c>
      <c r="E52" t="str" cm="1">
        <f t="array" ref="E52">GetValue("Cmp","Symbol",D52)</f>
        <v>&lt;</v>
      </c>
      <c r="F52" t="str" cm="1">
        <f t="array" ref="F52">GetValue("Cmp","Description",D52)</f>
        <v>Menor</v>
      </c>
    </row>
    <row r="53">
      <c r="A53">
        <f>ROW(A53)-1</f>
        <v>52</v>
      </c>
      <c r="B53">
        <v>5</v>
      </c>
      <c r="C53" t="str" cm="1">
        <f t="array" ref="C53">GetValue("Cat","Name",B53)</f>
        <v>time</v>
      </c>
      <c r="D53">
        <v>2</v>
      </c>
      <c r="E53" t="str" cm="1">
        <f t="array" ref="E53">GetValue("Cmp","Symbol",D53)</f>
        <v>≤</v>
      </c>
      <c r="F53" t="str" cm="1">
        <f t="array" ref="F53">GetValue("Cmp","Description",D53)</f>
        <v>Menor ou Igual</v>
      </c>
    </row>
    <row r="54">
      <c r="A54">
        <f>ROW(A54)-1</f>
        <v>53</v>
      </c>
      <c r="B54">
        <v>5</v>
      </c>
      <c r="C54" t="str" cm="1">
        <f t="array" ref="C54">GetValue("Cat","Name",B54)</f>
        <v>time</v>
      </c>
      <c r="D54">
        <v>3</v>
      </c>
      <c r="E54" t="str" cm="1">
        <f t="array" ref="E54">GetValue("Cmp","Symbol",D54)</f>
        <v>=</v>
      </c>
      <c r="F54" t="str" cm="1">
        <f t="array" ref="F54">GetValue("Cmp","Description",D54)</f>
        <v>Igual</v>
      </c>
    </row>
    <row r="55">
      <c r="A55">
        <f>ROW(A55)-1</f>
        <v>54</v>
      </c>
      <c r="B55">
        <v>5</v>
      </c>
      <c r="C55" t="str" cm="1">
        <f t="array" ref="C55">GetValue("Cat","Name",B55)</f>
        <v>time</v>
      </c>
      <c r="D55">
        <v>4</v>
      </c>
      <c r="E55" t="str" cm="1">
        <f t="array" ref="E55">GetValue("Cmp","Symbol",D55)</f>
        <v>≠</v>
      </c>
      <c r="F55" t="str" cm="1">
        <f t="array" ref="F55">GetValue("Cmp","Description",D55)</f>
        <v>Diferente</v>
      </c>
    </row>
    <row r="56">
      <c r="A56">
        <f>ROW(A56)-1</f>
        <v>55</v>
      </c>
      <c r="B56">
        <v>5</v>
      </c>
      <c r="C56" t="str" cm="1">
        <f t="array" ref="C56">GetValue("Cat","Name",B56)</f>
        <v>time</v>
      </c>
      <c r="D56">
        <v>5</v>
      </c>
      <c r="E56" t="str" cm="1">
        <f t="array" ref="E56">GetValue("Cmp","Symbol",D56)</f>
        <v>≥</v>
      </c>
      <c r="F56" t="str" cm="1">
        <f t="array" ref="F56">GetValue("Cmp","Description",D56)</f>
        <v>Maior ou Igual</v>
      </c>
    </row>
    <row r="57">
      <c r="A57">
        <f>ROW(A57)-1</f>
        <v>56</v>
      </c>
      <c r="B57">
        <v>5</v>
      </c>
      <c r="C57" t="str" cm="1">
        <f t="array" ref="C57">GetValue("Cat","Name",B57)</f>
        <v>time</v>
      </c>
      <c r="D57">
        <v>6</v>
      </c>
      <c r="E57" t="str" cm="1">
        <f t="array" ref="E57">GetValue("Cmp","Symbol",D57)</f>
        <v>&gt;</v>
      </c>
      <c r="F57" t="str" cm="1">
        <f t="array" ref="F57">GetValue("Cmp","Description",D57)</f>
        <v>Maior</v>
      </c>
    </row>
    <row r="58">
      <c r="A58">
        <f>ROW(A58)-1</f>
        <v>57</v>
      </c>
      <c r="B58">
        <v>5</v>
      </c>
      <c r="C58" t="str" cm="1">
        <f t="array" ref="C58">GetValue("Cat","Name",B58)</f>
        <v>time</v>
      </c>
      <c r="D58">
        <v>7</v>
      </c>
      <c r="E58" t="str" cm="1">
        <f t="array" ref="E58">GetValue("Cmp","Symbol",D58)</f>
        <v>∈</v>
      </c>
      <c r="F58" t="str" cm="1">
        <f t="array" ref="F58">GetValue("Cmp","Description",D58)</f>
        <v>In</v>
      </c>
    </row>
    <row r="59">
      <c r="A59">
        <f>ROW(A59)-1</f>
        <v>58</v>
      </c>
      <c r="B59">
        <v>5</v>
      </c>
      <c r="C59" t="str" cm="1">
        <f t="array" ref="C59">GetValue("Cat","Name",B59)</f>
        <v>time</v>
      </c>
      <c r="D59">
        <v>8</v>
      </c>
      <c r="E59" t="str" cm="1">
        <f t="array" ref="E59">GetValue("Cmp","Symbol",D59)</f>
        <v>∉</v>
      </c>
      <c r="F59" t="str" cm="1">
        <f t="array" ref="F59">GetValue("Cmp","Description",D59)</f>
        <v>Not In</v>
      </c>
    </row>
    <row r="60">
      <c r="A60">
        <f>ROW(A60)-1</f>
        <v>59</v>
      </c>
      <c r="B60">
        <v>5</v>
      </c>
      <c r="C60" t="str" cm="1">
        <f t="array" ref="C60">GetValue("Cat","Name",B60)</f>
        <v>time</v>
      </c>
      <c r="D60">
        <v>11</v>
      </c>
      <c r="E60" t="str" cm="1">
        <f t="array" ref="E60">GetValue("Cmp","Symbol",D60)</f>
        <v>∃</v>
      </c>
      <c r="F60" t="str" cm="1">
        <f t="array" ref="F60">GetValue("Cmp","Description",D60)</f>
        <v>Between</v>
      </c>
    </row>
    <row r="61">
      <c r="A61">
        <f>ROW(A61)-1</f>
        <v>60</v>
      </c>
      <c r="B61">
        <v>5</v>
      </c>
      <c r="C61" t="str" cm="1">
        <f t="array" ref="C61">GetValue("Cat","Name",B61)</f>
        <v>time</v>
      </c>
      <c r="D61">
        <v>12</v>
      </c>
      <c r="E61" t="str" cm="1">
        <f t="array" ref="E61">GetValue("Cmp","Symbol",D61)</f>
        <v>∄</v>
      </c>
      <c r="F61" t="str" cm="1">
        <f t="array" ref="F61">GetValue("Cmp","Description",D61)</f>
        <v>Not Between</v>
      </c>
    </row>
    <row r="62">
      <c r="A62">
        <f>ROW(A62)-1</f>
        <v>61</v>
      </c>
      <c r="B62">
        <v>5</v>
      </c>
      <c r="C62" t="str" cm="1">
        <f t="array" ref="C62">GetValue("Cat","Name",B62)</f>
        <v>time</v>
      </c>
      <c r="D62">
        <v>13</v>
      </c>
      <c r="E62" t="str" cm="1">
        <f t="array" ref="E62">GetValue("Cmp","Symbol",D62)</f>
        <v>∅</v>
      </c>
      <c r="F62" t="str" cm="1">
        <f t="array" ref="F62">GetValue("Cmp","Description",D62)</f>
        <v>Is Null</v>
      </c>
    </row>
    <row r="63">
      <c r="A63">
        <f>ROW(A63)-1</f>
        <v>62</v>
      </c>
      <c r="B63">
        <v>5</v>
      </c>
      <c r="C63" t="str" cm="1">
        <f t="array" ref="C63">GetValue("Cat","Name",B63)</f>
        <v>time</v>
      </c>
      <c r="D63">
        <v>14</v>
      </c>
      <c r="E63" t="str" cm="1">
        <f t="array" ref="E63">GetValue("Cmp","Symbol",D63)</f>
        <v>⊗</v>
      </c>
      <c r="F63" t="str" cm="1">
        <f t="array" ref="F63">GetValue("Cmp","Description",D63)</f>
        <v>Is Not Null</v>
      </c>
    </row>
    <row r="64">
      <c r="A64">
        <f>ROW(A64)-1</f>
        <v>63</v>
      </c>
      <c r="B64">
        <v>6</v>
      </c>
      <c r="C64" t="str" cm="1">
        <f t="array" ref="C64">GetValue("Cat","Name",B64)</f>
        <v>text</v>
      </c>
      <c r="D64">
        <v>9</v>
      </c>
      <c r="E64" t="str" cm="1">
        <f t="array" ref="E64">GetValue("Cmp","Symbol",D64)</f>
        <v>⊃</v>
      </c>
      <c r="F64" t="str" cm="1">
        <f t="array" ref="F64">GetValue("Cmp","Description",D64)</f>
        <v>Like</v>
      </c>
    </row>
    <row r="65">
      <c r="A65">
        <f>ROW(A65)-1</f>
        <v>64</v>
      </c>
      <c r="B65">
        <v>6</v>
      </c>
      <c r="C65" t="str" cm="1">
        <f t="array" ref="C65">GetValue("Cat","Name",B65)</f>
        <v>text</v>
      </c>
      <c r="D65">
        <v>10</v>
      </c>
      <c r="E65" t="str" cm="1">
        <f t="array" ref="E65">GetValue("Cmp","Symbol",D65)</f>
        <v>⊅</v>
      </c>
      <c r="F65" t="str" cm="1">
        <f t="array" ref="F65">GetValue("Cmp","Description",D65)</f>
        <v>Not Like</v>
      </c>
    </row>
    <row r="66">
      <c r="A66">
        <f>ROW(A66)-1</f>
        <v>65</v>
      </c>
      <c r="B66">
        <v>6</v>
      </c>
      <c r="C66" t="str" cm="1">
        <f t="array" ref="C66">GetValue("Cat","Name",B66)</f>
        <v>text</v>
      </c>
      <c r="D66">
        <v>13</v>
      </c>
      <c r="E66" t="str" cm="1">
        <f t="array" ref="E66">GetValue("Cmp","Symbol",D66)</f>
        <v>∅</v>
      </c>
      <c r="F66" t="str" cm="1">
        <f t="array" ref="F66">GetValue("Cmp","Description",D66)</f>
        <v>Is Null</v>
      </c>
    </row>
    <row r="67">
      <c r="A67">
        <f>ROW(A67)-1</f>
        <v>66</v>
      </c>
      <c r="B67">
        <v>6</v>
      </c>
      <c r="C67" t="str" cm="1">
        <f t="array" ref="C67">GetValue("Cat","Name",B67)</f>
        <v>text</v>
      </c>
      <c r="D67">
        <v>14</v>
      </c>
      <c r="E67" t="str" cm="1">
        <f t="array" ref="E67">GetValue("Cmp","Symbol",D67)</f>
        <v>⊗</v>
      </c>
      <c r="F67" t="str" cm="1">
        <f t="array" ref="F67">GetValue("Cmp","Description",D67)</f>
        <v>Is Not Null</v>
      </c>
    </row>
    <row r="68">
      <c r="A68">
        <f>ROW(A68)-1</f>
        <v>67</v>
      </c>
      <c r="B68">
        <v>7</v>
      </c>
      <c r="C68" t="str" cm="1">
        <f t="array" ref="C68">GetValue("Cat","Name",B68)</f>
        <v>boolean</v>
      </c>
      <c r="D68">
        <v>3</v>
      </c>
      <c r="E68" t="str" cm="1">
        <f t="array" ref="E68">GetValue("Cmp","Symbol",D68)</f>
        <v>=</v>
      </c>
      <c r="F68" t="str" cm="1">
        <f t="array" ref="F68">GetValue("Cmp","Description",D68)</f>
        <v>Igual</v>
      </c>
    </row>
    <row r="69">
      <c r="A69">
        <f>ROW(A69)-1</f>
        <v>68</v>
      </c>
      <c r="B69">
        <v>7</v>
      </c>
      <c r="C69" t="str" cm="1">
        <f t="array" ref="C69">GetValue("Cat","Name",B69)</f>
        <v>boolean</v>
      </c>
      <c r="D69">
        <v>4</v>
      </c>
      <c r="E69" t="str" cm="1">
        <f t="array" ref="E69">GetValue("Cmp","Symbol",D69)</f>
        <v>≠</v>
      </c>
      <c r="F69" t="str" cm="1">
        <f t="array" ref="F69">GetValue("Cmp","Description",D69)</f>
        <v>Diferente</v>
      </c>
    </row>
  </sheetData>
  <pageMargins left="0.511811024" right="0.511811024" top="0.787401575" bottom="0.787401575" header="0.31496062" footer="0.31496062"/>
  <ignoredErrors>
    <ignoredError numberStoredAsText="1" sqref="A1:F69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G11"/>
  <sheetViews>
    <sheetView workbookViewId="0" rightToLeft="0"/>
  </sheetViews>
  <sheetData>
    <row r="1">
      <c r="A1" t="str">
        <v>*Id</v>
      </c>
      <c r="B1" t="str">
        <v>Name</v>
      </c>
      <c r="C1" t="str">
        <v>Provider</v>
      </c>
      <c r="D1" t="str">
        <v>PackageName</v>
      </c>
      <c r="E1" t="str">
        <v>PackageVersion</v>
      </c>
      <c r="F1" t="str">
        <v>AskDirectory</v>
      </c>
      <c r="G1" t="str">
        <v>IsActive</v>
      </c>
    </row>
    <row r="2">
      <c r="A2">
        <f>ROW(A2)-1</f>
        <v>1</v>
      </c>
      <c r="B2" t="str">
        <v>SQL Server</v>
      </c>
      <c r="C2" t="str">
        <v>Microsoft.Data.SqlClient</v>
      </c>
      <c r="D2" t="str">
        <v>Microsoft.Data.SqlClient</v>
      </c>
      <c r="F2" t="b">
        <v>1</v>
      </c>
      <c r="G2" t="b">
        <v>1</v>
      </c>
    </row>
    <row r="3">
      <c r="A3">
        <f>ROW(A3)-1</f>
        <v>2</v>
      </c>
      <c r="B3" t="str">
        <v>MySQL</v>
      </c>
      <c r="C3" t="str">
        <v>MySql.Data.MySqlClient</v>
      </c>
      <c r="D3" t="str">
        <v>MySql.Data</v>
      </c>
      <c r="F3" t="b">
        <v>0</v>
      </c>
      <c r="G3" t="b">
        <v>0</v>
      </c>
    </row>
    <row r="4">
      <c r="A4">
        <f>ROW(A4)-1</f>
        <v>3</v>
      </c>
      <c r="B4" t="str">
        <v>MariaDB</v>
      </c>
      <c r="C4" t="str">
        <v>MySqlConnector</v>
      </c>
      <c r="D4" t="str">
        <v>MySqlConnector</v>
      </c>
      <c r="F4" t="b">
        <v>0</v>
      </c>
      <c r="G4" t="b">
        <v>0</v>
      </c>
    </row>
    <row r="5">
      <c r="A5">
        <f>ROW(A5)-1</f>
        <v>4</v>
      </c>
      <c r="B5" t="str">
        <v>PostgreSQL</v>
      </c>
      <c r="C5" t="str">
        <v>Npgsql</v>
      </c>
      <c r="D5" t="str">
        <v>Npgsql</v>
      </c>
      <c r="F5" t="b">
        <v>0</v>
      </c>
      <c r="G5" t="b">
        <v>0</v>
      </c>
    </row>
    <row r="6">
      <c r="A6">
        <f>ROW(A6)-1</f>
        <v>5</v>
      </c>
      <c r="B6" t="str">
        <v>Firebird</v>
      </c>
      <c r="C6" t="str">
        <v>FirebirdSql.Data.FirebirdClient</v>
      </c>
      <c r="D6" t="str">
        <v>FirebirdSql.Data.FirebirdClient</v>
      </c>
      <c r="F6" t="b">
        <v>1</v>
      </c>
      <c r="G6" t="b">
        <v>0</v>
      </c>
    </row>
    <row r="7">
      <c r="A7">
        <f>ROW(A7)-1</f>
        <v>6</v>
      </c>
      <c r="B7" t="str">
        <v>Interbase</v>
      </c>
      <c r="C7" t="str">
        <v>InterBaseSql.Data.InterBaseClient</v>
      </c>
      <c r="D7" t="str">
        <v>InterBaseSql.Data.InterBaseClient</v>
      </c>
      <c r="F7" t="b">
        <v>1</v>
      </c>
      <c r="G7" t="b">
        <v>0</v>
      </c>
    </row>
    <row r="8">
      <c r="A8">
        <f>ROW(A8)-1</f>
        <v>7</v>
      </c>
      <c r="B8" t="str">
        <v>SQL Anywhere</v>
      </c>
      <c r="C8" t="str">
        <v>Sap.Data.SQLAnywhere</v>
      </c>
      <c r="D8" t="str">
        <v>MC.Sap.Data.SQLAnywhere</v>
      </c>
      <c r="E8" t="str">
        <v xml:space="preserve"> 2.1.0.1</v>
      </c>
      <c r="F8" t="b">
        <v>1</v>
      </c>
      <c r="G8" t="b">
        <v>0</v>
      </c>
    </row>
    <row r="9">
      <c r="A9">
        <f>ROW(A9)-1</f>
        <v>8</v>
      </c>
      <c r="B9" t="str">
        <v>Informix</v>
      </c>
      <c r="C9" t="str">
        <v>IBM.Data.Informix</v>
      </c>
      <c r="D9" t="str">
        <v>Informix.Net.Core</v>
      </c>
      <c r="F9" t="b">
        <v>0</v>
      </c>
      <c r="G9" t="b">
        <v>0</v>
      </c>
    </row>
    <row r="10">
      <c r="A10">
        <f>ROW(A10)-1</f>
        <v>9</v>
      </c>
      <c r="B10" t="str">
        <v>Oracle</v>
      </c>
      <c r="C10" t="str">
        <v>Oracle.ManagedDataAccess.Client</v>
      </c>
      <c r="D10" t="str">
        <v>Oracle.ManagedDataAccess.Core</v>
      </c>
      <c r="F10" t="b">
        <v>0</v>
      </c>
      <c r="G10" t="b">
        <v>0</v>
      </c>
    </row>
    <row r="11">
      <c r="A11">
        <f>ROW(A11)-1</f>
        <v>10</v>
      </c>
      <c r="B11" t="str">
        <v>DB2</v>
      </c>
      <c r="C11" t="str">
        <v>IBM.Data.Db2</v>
      </c>
      <c r="D11" t="str">
        <v>Net.IBM.Data.Db2</v>
      </c>
      <c r="F11" t="b">
        <v>0</v>
      </c>
      <c r="G11" t="b">
        <v>0</v>
      </c>
    </row>
  </sheetData>
  <pageMargins left="0.511811024" right="0.511811024" top="0.787401575" bottom="0.787401575" header="0.31496062" footer="0.31496062"/>
  <ignoredErrors>
    <ignoredError numberStoredAsText="1" sqref="A1:G1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M39"/>
  <sheetViews>
    <sheetView workbookViewId="0" rightToLeft="0"/>
  </sheetViews>
  <sheetData>
    <row r="1">
      <c r="A1" t="str">
        <v>*Id</v>
      </c>
      <c r="B1" t="str">
        <v>CategoryId</v>
      </c>
      <c r="C1" t="str">
        <v>#CategoryName</v>
      </c>
      <c r="D1" t="str">
        <v>Name</v>
      </c>
      <c r="E1" t="str">
        <v>Minimum</v>
      </c>
      <c r="F1" t="str">
        <v>Maximum</v>
      </c>
      <c r="G1" t="str">
        <v>AskLength</v>
      </c>
      <c r="H1" t="str">
        <v>AskDecimals</v>
      </c>
      <c r="I1" t="str">
        <v>AskPrimarykey</v>
      </c>
      <c r="J1" t="str">
        <v>AskAutoincrement</v>
      </c>
      <c r="K1" t="str">
        <v>AskFilterable</v>
      </c>
      <c r="L1" t="str">
        <v>AskGridable</v>
      </c>
      <c r="M1" t="str">
        <v>IsActive</v>
      </c>
    </row>
    <row r="2">
      <c r="A2">
        <f>ROW(A2)-1</f>
        <v>1</v>
      </c>
      <c r="B2">
        <v>2</v>
      </c>
      <c r="C2" t="str" cm="1">
        <f t="array" ref="C2">GetValue("Cat","Name",B2)</f>
        <v>number</v>
      </c>
      <c r="D2" t="str">
        <v>bigint (8 bytes)</v>
      </c>
      <c r="E2">
        <v>-9007199254740990</v>
      </c>
      <c r="F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</row>
    <row r="3">
      <c r="A3">
        <f>ROW(A3)-1</f>
        <v>2</v>
      </c>
      <c r="B3">
        <v>9</v>
      </c>
      <c r="C3" t="str" cm="1">
        <f t="array" ref="C3">GetValue("Cat","Name",B3)</f>
        <v>binary</v>
      </c>
      <c r="D3" t="str">
        <v>binary</v>
      </c>
      <c r="F3" t="str">
        <v/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1</v>
      </c>
    </row>
    <row r="4">
      <c r="A4">
        <f>ROW(A4)-1</f>
        <v>3</v>
      </c>
      <c r="B4">
        <v>7</v>
      </c>
      <c r="C4" t="str" cm="1">
        <f t="array" ref="C4">GetValue("Cat","Name",B4)</f>
        <v>boolean</v>
      </c>
      <c r="D4" t="str">
        <v>bit (1 bit)</v>
      </c>
      <c r="E4" t="str">
        <v/>
      </c>
      <c r="F4" t="str">
        <v/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</row>
    <row r="5">
      <c r="A5">
        <f>ROW(A5)-1</f>
        <v>4</v>
      </c>
      <c r="B5">
        <v>1</v>
      </c>
      <c r="C5" t="str" cm="1">
        <f t="array" ref="C5">GetValue("Cat","Name",B5)</f>
        <v>string</v>
      </c>
      <c r="D5" t="str">
        <v>char(n)</v>
      </c>
      <c r="E5" t="str">
        <v/>
      </c>
      <c r="F5" t="str">
        <v/>
      </c>
      <c r="G5" t="b">
        <v>1</v>
      </c>
      <c r="H5" t="b">
        <v>0</v>
      </c>
      <c r="I5" t="b">
        <v>0</v>
      </c>
      <c r="J5" t="b">
        <v>0</v>
      </c>
      <c r="K5" t="b">
        <v>1</v>
      </c>
      <c r="L5" t="b">
        <v>1</v>
      </c>
      <c r="M5" t="b">
        <v>1</v>
      </c>
    </row>
    <row r="6">
      <c r="A6">
        <f>ROW(A6)-1</f>
        <v>5</v>
      </c>
      <c r="B6">
        <v>3</v>
      </c>
      <c r="C6" t="str" cm="1">
        <f t="array" ref="C6">GetValue("Cat","Name",B6)</f>
        <v>date</v>
      </c>
      <c r="D6" t="str">
        <v>date</v>
      </c>
      <c r="E6" t="str">
        <v>0001-01-01</v>
      </c>
      <c r="F6" t="str">
        <v>9999-12-31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1</v>
      </c>
    </row>
    <row r="7">
      <c r="A7">
        <f>ROW(A7)-1</f>
        <v>6</v>
      </c>
      <c r="B7">
        <v>4</v>
      </c>
      <c r="C7" t="str" cm="1">
        <f t="array" ref="C7">GetValue("Cat","Name",B7)</f>
        <v>datetime</v>
      </c>
      <c r="D7" t="str">
        <v>datetime</v>
      </c>
      <c r="E7" t="str">
        <v>1753-01-01 00:00:00.000Z</v>
      </c>
      <c r="F7" t="str">
        <v>9999-12-31 23:59:59.997Z</v>
      </c>
      <c r="G7" t="b">
        <v>0</v>
      </c>
      <c r="H7" t="b">
        <v>0</v>
      </c>
      <c r="I7" t="b">
        <v>0</v>
      </c>
      <c r="J7" t="b">
        <v>0</v>
      </c>
      <c r="K7" t="b">
        <v>1</v>
      </c>
      <c r="L7" t="b">
        <v>1</v>
      </c>
      <c r="M7" t="b">
        <v>1</v>
      </c>
    </row>
    <row r="8">
      <c r="A8">
        <f>ROW(A8)-1</f>
        <v>7</v>
      </c>
      <c r="B8">
        <v>4</v>
      </c>
      <c r="C8" t="str" cm="1">
        <f t="array" ref="C8">GetValue("Cat","Name",B8)</f>
        <v>datetime</v>
      </c>
      <c r="D8" t="str">
        <v>datetime2(s)</v>
      </c>
      <c r="E8" t="str">
        <v>0001-01-01 00:00:00.0000000Z</v>
      </c>
      <c r="F8" t="str">
        <v>9999-12-31 23:59:59.9999999Z</v>
      </c>
      <c r="G8" t="b">
        <v>0</v>
      </c>
      <c r="H8" t="b">
        <v>0</v>
      </c>
      <c r="I8" t="b">
        <v>0</v>
      </c>
      <c r="J8" t="b">
        <v>0</v>
      </c>
      <c r="K8" t="b">
        <v>1</v>
      </c>
      <c r="L8" t="b">
        <v>1</v>
      </c>
      <c r="M8" t="b">
        <v>1</v>
      </c>
    </row>
    <row r="9">
      <c r="A9">
        <f>ROW(A9)-1</f>
        <v>8</v>
      </c>
      <c r="B9">
        <v>4</v>
      </c>
      <c r="C9" t="str" cm="1">
        <f t="array" ref="C9">GetValue("Cat","Name",B9)</f>
        <v>datetime</v>
      </c>
      <c r="D9" t="str">
        <v>datetimeoffset(s)</v>
      </c>
      <c r="E9" t="str">
        <v>0001-01-01 00:00:00.0000000Z</v>
      </c>
      <c r="F9" t="str">
        <v>9999-12-31 23:59:59.9999999Z</v>
      </c>
      <c r="G9" t="b">
        <v>0</v>
      </c>
      <c r="H9" t="b">
        <v>0</v>
      </c>
      <c r="I9" t="b">
        <v>0</v>
      </c>
      <c r="J9" t="b">
        <v>0</v>
      </c>
      <c r="K9" t="b">
        <v>1</v>
      </c>
      <c r="L9" t="b">
        <v>1</v>
      </c>
      <c r="M9" t="b">
        <v>1</v>
      </c>
    </row>
    <row r="10">
      <c r="A10">
        <f>ROW(A10)-1</f>
        <v>9</v>
      </c>
      <c r="B10">
        <v>2</v>
      </c>
      <c r="C10" t="str" cm="1">
        <f t="array" ref="C10">GetValue("Cat","Name",B10)</f>
        <v>number</v>
      </c>
      <c r="D10" t="str">
        <v>decimal(p ,s)</v>
      </c>
      <c r="E10">
        <v>-9007199254740990</v>
      </c>
      <c r="F10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1</v>
      </c>
    </row>
    <row r="11">
      <c r="A11">
        <f>ROW(A11)-1</f>
        <v>10</v>
      </c>
      <c r="B11">
        <v>2</v>
      </c>
      <c r="C11" t="str" cm="1">
        <f t="array" ref="C11">GetValue("Cat","Name",B11)</f>
        <v>number</v>
      </c>
      <c r="D11" t="str">
        <v>float(n)</v>
      </c>
      <c r="E11">
        <v>-9007199254740990</v>
      </c>
      <c r="F11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1</v>
      </c>
    </row>
    <row r="12">
      <c r="A12">
        <f>ROW(A12)-1</f>
        <v>11</v>
      </c>
      <c r="B12">
        <v>6</v>
      </c>
      <c r="C12" t="str" cm="1">
        <f t="array" ref="C12">GetValue("Cat","Name",B12)</f>
        <v>text</v>
      </c>
      <c r="D12" t="str">
        <v>geography</v>
      </c>
      <c r="E12" t="str">
        <v/>
      </c>
      <c r="F12" t="str">
        <v/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>
      <c r="A13">
        <f>ROW(A13)-1</f>
        <v>12</v>
      </c>
      <c r="B13">
        <v>6</v>
      </c>
      <c r="C13" t="str" cm="1">
        <f t="array" ref="C13">GetValue("Cat","Name",B13)</f>
        <v>text</v>
      </c>
      <c r="D13" t="str">
        <v>geometry</v>
      </c>
      <c r="E13" t="str">
        <v/>
      </c>
      <c r="F13" t="str">
        <v/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>
      <c r="A14">
        <f>ROW(A14)-1</f>
        <v>13</v>
      </c>
      <c r="B14">
        <v>1</v>
      </c>
      <c r="C14" t="str" cm="1">
        <f t="array" ref="C14">GetValue("Cat","Name",B14)</f>
        <v>string</v>
      </c>
      <c r="D14" t="str">
        <v>hierarchyid</v>
      </c>
      <c r="E14" t="str">
        <v/>
      </c>
      <c r="F14" t="str">
        <v/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  <row r="15">
      <c r="A15">
        <f>ROW(A15)-1</f>
        <v>14</v>
      </c>
      <c r="B15">
        <v>8</v>
      </c>
      <c r="C15" t="str" cm="1">
        <f t="array" ref="C15">GetValue("Cat","Name",B15)</f>
        <v>image</v>
      </c>
      <c r="D15" t="str">
        <v>image</v>
      </c>
      <c r="E15" t="str">
        <v/>
      </c>
      <c r="F15" t="str">
        <v/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1</v>
      </c>
    </row>
    <row r="16">
      <c r="A16">
        <f>ROW(A16)-1</f>
        <v>15</v>
      </c>
      <c r="B16">
        <v>2</v>
      </c>
      <c r="C16" t="str" cm="1">
        <f t="array" ref="C16">GetValue("Cat","Name",B16)</f>
        <v>number</v>
      </c>
      <c r="D16" t="str">
        <v>int (4 bytes)</v>
      </c>
      <c r="E16">
        <v>-2147483648</v>
      </c>
      <c r="F16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1</v>
      </c>
    </row>
    <row r="17">
      <c r="A17">
        <f>ROW(A17)-1</f>
        <v>16</v>
      </c>
      <c r="B17">
        <v>2</v>
      </c>
      <c r="C17" t="str" cm="1">
        <f t="array" ref="C17">GetValue("Cat","Name",B17)</f>
        <v>number</v>
      </c>
      <c r="D17" t="str">
        <v>money</v>
      </c>
      <c r="E17">
        <v>-9007199254740990</v>
      </c>
      <c r="F17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</row>
    <row r="18">
      <c r="A18">
        <f>ROW(A18)-1</f>
        <v>17</v>
      </c>
      <c r="B18">
        <v>1</v>
      </c>
      <c r="C18" t="str" cm="1">
        <f t="array" ref="C18">GetValue("Cat","Name",B18)</f>
        <v>string</v>
      </c>
      <c r="D18" t="str">
        <v>nchar(n)</v>
      </c>
      <c r="E18" t="str">
        <v/>
      </c>
      <c r="F18" t="str">
        <v/>
      </c>
      <c r="G18" t="b">
        <v>1</v>
      </c>
      <c r="H18" t="b">
        <v>0</v>
      </c>
      <c r="I18" t="b">
        <v>0</v>
      </c>
      <c r="J18" t="b">
        <v>0</v>
      </c>
      <c r="K18" t="b">
        <v>1</v>
      </c>
      <c r="L18" t="b">
        <v>1</v>
      </c>
      <c r="M18" t="b">
        <v>1</v>
      </c>
    </row>
    <row r="19">
      <c r="A19">
        <f>ROW(A19)-1</f>
        <v>18</v>
      </c>
      <c r="B19">
        <v>6</v>
      </c>
      <c r="C19" t="str" cm="1">
        <f t="array" ref="C19">GetValue("Cat","Name",B19)</f>
        <v>text</v>
      </c>
      <c r="D19" t="str">
        <v>ntext</v>
      </c>
      <c r="E19" t="str">
        <v/>
      </c>
      <c r="F19" t="str">
        <v/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1</v>
      </c>
    </row>
    <row r="20">
      <c r="A20">
        <f>ROW(A20)-1</f>
        <v>19</v>
      </c>
      <c r="B20">
        <v>2</v>
      </c>
      <c r="C20" t="str" cm="1">
        <f t="array" ref="C20">GetValue("Cat","Name",B20)</f>
        <v>number</v>
      </c>
      <c r="D20" t="str">
        <v>numeric(p,s)</v>
      </c>
      <c r="E20">
        <v>-9007199254740990</v>
      </c>
      <c r="F20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1</v>
      </c>
    </row>
    <row r="21">
      <c r="A21">
        <f>ROW(A21)-1</f>
        <v>20</v>
      </c>
      <c r="B21">
        <v>1</v>
      </c>
      <c r="C21" t="str" cm="1">
        <f t="array" ref="C21">GetValue("Cat","Name",B21)</f>
        <v>string</v>
      </c>
      <c r="D21" t="str">
        <v>nvarchar(n)</v>
      </c>
      <c r="E21" t="str">
        <v/>
      </c>
      <c r="F21" t="str">
        <v/>
      </c>
      <c r="G21" t="b">
        <v>1</v>
      </c>
      <c r="H21" t="b">
        <v>0</v>
      </c>
      <c r="I21" t="b">
        <v>0</v>
      </c>
      <c r="J21" t="b">
        <v>0</v>
      </c>
      <c r="K21" t="b">
        <v>1</v>
      </c>
      <c r="L21" t="b">
        <v>1</v>
      </c>
      <c r="M21" t="b">
        <v>1</v>
      </c>
    </row>
    <row r="22">
      <c r="A22">
        <f>ROW(A22)-1</f>
        <v>21</v>
      </c>
      <c r="B22">
        <v>6</v>
      </c>
      <c r="C22" t="str" cm="1">
        <f t="array" ref="C22">GetValue("Cat","Name",B22)</f>
        <v>text</v>
      </c>
      <c r="D22" t="str">
        <v>nvarchar(max)</v>
      </c>
      <c r="E22" t="str">
        <v/>
      </c>
      <c r="F22" t="str">
        <v/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</row>
    <row r="23">
      <c r="A23">
        <f>ROW(A23)-1</f>
        <v>22</v>
      </c>
      <c r="B23">
        <v>2</v>
      </c>
      <c r="C23" t="str" cm="1">
        <f t="array" ref="C23">GetValue("Cat","Name",B23)</f>
        <v>number</v>
      </c>
      <c r="D23" t="str">
        <v>real</v>
      </c>
      <c r="E23">
        <v>-9007199254740990</v>
      </c>
      <c r="F23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  <c r="M23" t="b">
        <v>1</v>
      </c>
    </row>
    <row r="24">
      <c r="A24">
        <f>ROW(A24)-1</f>
        <v>23</v>
      </c>
      <c r="B24">
        <v>4</v>
      </c>
      <c r="C24" t="str" cm="1">
        <f t="array" ref="C24">GetValue("Cat","Name",B24)</f>
        <v>datetime</v>
      </c>
      <c r="D24" t="str">
        <v>smalldatetime</v>
      </c>
      <c r="E24" t="str">
        <v>1900-01-01 00:00:00Z</v>
      </c>
      <c r="F24" t="str">
        <v>2079-06-06 23:59:00Z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</row>
    <row r="25">
      <c r="A25">
        <f>ROW(A25)-1</f>
        <v>24</v>
      </c>
      <c r="B25">
        <v>2</v>
      </c>
      <c r="C25" t="str" cm="1">
        <f t="array" ref="C25">GetValue("Cat","Name",B25)</f>
        <v>number</v>
      </c>
      <c r="D25" t="str">
        <v>smallint (2 bytes)</v>
      </c>
      <c r="E25">
        <v>-32768</v>
      </c>
      <c r="F25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  <c r="L25" t="b">
        <v>1</v>
      </c>
      <c r="M25" t="b">
        <v>1</v>
      </c>
    </row>
    <row r="26">
      <c r="A26">
        <f>ROW(A26)-1</f>
        <v>25</v>
      </c>
      <c r="B26">
        <v>2</v>
      </c>
      <c r="C26" t="str" cm="1">
        <f t="array" ref="C26">GetValue("Cat","Name",B26)</f>
        <v>number</v>
      </c>
      <c r="D26" t="str">
        <v>smallmoney</v>
      </c>
      <c r="E26">
        <v>-214748</v>
      </c>
      <c r="F26">
        <v>214748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1</v>
      </c>
    </row>
    <row r="27">
      <c r="A27">
        <f>ROW(A27)-1</f>
        <v>26</v>
      </c>
      <c r="B27">
        <v>10</v>
      </c>
      <c r="C27" t="str" cm="1">
        <f t="array" ref="C27">GetValue("Cat","Name",B27)</f>
        <v>undefined</v>
      </c>
      <c r="D27" t="str">
        <v>sql_variant</v>
      </c>
      <c r="E27" t="str">
        <v/>
      </c>
      <c r="F27" t="str">
        <v/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  <c r="M27" t="b">
        <v>1</v>
      </c>
    </row>
    <row r="28">
      <c r="A28">
        <f>ROW(A28)-1</f>
        <v>27</v>
      </c>
      <c r="B28">
        <v>1</v>
      </c>
      <c r="C28" t="str" cm="1">
        <f t="array" ref="C28">GetValue("Cat","Name",B28)</f>
        <v>string</v>
      </c>
      <c r="D28" t="str">
        <v>sysname</v>
      </c>
      <c r="E28" t="str">
        <v/>
      </c>
      <c r="F28" t="str">
        <v/>
      </c>
      <c r="G28" t="b">
        <v>0</v>
      </c>
      <c r="H28" t="b">
        <v>0</v>
      </c>
      <c r="I28" t="b">
        <v>0</v>
      </c>
      <c r="J28" t="b">
        <v>0</v>
      </c>
      <c r="K28" t="b">
        <v>1</v>
      </c>
      <c r="L28" t="b">
        <v>0</v>
      </c>
      <c r="M28" t="b">
        <v>0</v>
      </c>
    </row>
    <row r="29">
      <c r="A29">
        <f>ROW(A29)-1</f>
        <v>28</v>
      </c>
      <c r="B29">
        <v>6</v>
      </c>
      <c r="C29" t="str" cm="1">
        <f t="array" ref="C29">GetValue("Cat","Name",B29)</f>
        <v>text</v>
      </c>
      <c r="D29" t="str">
        <v>text</v>
      </c>
      <c r="E29" t="str">
        <v/>
      </c>
      <c r="F29" t="str">
        <v/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1</v>
      </c>
      <c r="M29" t="b">
        <v>1</v>
      </c>
    </row>
    <row r="30">
      <c r="A30">
        <f>ROW(A30)-1</f>
        <v>29</v>
      </c>
      <c r="B30">
        <v>5</v>
      </c>
      <c r="C30" t="str" cm="1">
        <f t="array" ref="C30">GetValue("Cat","Name",B30)</f>
        <v>time</v>
      </c>
      <c r="D30" t="str">
        <v>time(s)</v>
      </c>
      <c r="E30" t="str">
        <v>1900-01-01 00:00:00.0000000Z</v>
      </c>
      <c r="F30" t="str">
        <v>1900-01-01 23:59:59.9999999Z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</row>
    <row r="31">
      <c r="A31">
        <f>ROW(A31)-1</f>
        <v>30</v>
      </c>
      <c r="B31">
        <v>4</v>
      </c>
      <c r="C31" t="str" cm="1">
        <f t="array" ref="C31">GetValue("Cat","Name",B31)</f>
        <v>datetime</v>
      </c>
      <c r="D31" t="str">
        <v>timestamp</v>
      </c>
      <c r="E31" t="str">
        <v/>
      </c>
      <c r="G31" t="b">
        <v>0</v>
      </c>
      <c r="H31" t="b">
        <v>0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</row>
    <row r="32">
      <c r="A32">
        <f>ROW(A32)-1</f>
        <v>31</v>
      </c>
      <c r="B32">
        <v>2</v>
      </c>
      <c r="C32" t="str" cm="1">
        <f t="array" ref="C32">GetValue("Cat","Name",B32)</f>
        <v>number</v>
      </c>
      <c r="D32" t="str">
        <v>tinyint (1 byte)</v>
      </c>
      <c r="E32">
        <v>0</v>
      </c>
      <c r="F3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  <c r="L32" t="b">
        <v>1</v>
      </c>
      <c r="M32" t="b">
        <v>1</v>
      </c>
    </row>
    <row r="33">
      <c r="A33">
        <f>ROW(A33)-1</f>
        <v>32</v>
      </c>
      <c r="B33">
        <v>1</v>
      </c>
      <c r="C33" t="str" cm="1">
        <f t="array" ref="C33">GetValue("Cat","Name",B33)</f>
        <v>string</v>
      </c>
      <c r="D33" t="str">
        <v>uniqueidentifier</v>
      </c>
      <c r="E33" t="str">
        <v/>
      </c>
      <c r="F33" t="str">
        <v/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1</v>
      </c>
      <c r="M33" t="b">
        <v>1</v>
      </c>
    </row>
    <row r="34">
      <c r="A34">
        <f>ROW(A34)-1</f>
        <v>33</v>
      </c>
      <c r="B34">
        <v>9</v>
      </c>
      <c r="C34" t="str" cm="1">
        <f t="array" ref="C34">GetValue("Cat","Name",B34)</f>
        <v>binary</v>
      </c>
      <c r="D34" t="str">
        <v>varbinary(n)</v>
      </c>
      <c r="E34" t="str">
        <v/>
      </c>
      <c r="F34" t="str">
        <v/>
      </c>
      <c r="G34" t="b">
        <v>1</v>
      </c>
      <c r="H34" t="b">
        <v>0</v>
      </c>
      <c r="I34" t="b">
        <v>0</v>
      </c>
      <c r="J34" t="b">
        <v>0</v>
      </c>
      <c r="K34" t="b">
        <v>0</v>
      </c>
      <c r="L34" t="b">
        <v>0</v>
      </c>
      <c r="M34" t="b">
        <v>1</v>
      </c>
    </row>
    <row r="35">
      <c r="A35">
        <f>ROW(A35)-1</f>
        <v>34</v>
      </c>
      <c r="B35">
        <v>9</v>
      </c>
      <c r="C35" t="str" cm="1">
        <f t="array" ref="C35">GetValue("Cat","Name",B35)</f>
        <v>binary</v>
      </c>
      <c r="D35" t="str">
        <v>varbinary(max)</v>
      </c>
      <c r="E35" t="str">
        <v/>
      </c>
      <c r="F35" t="str">
        <v/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1</v>
      </c>
    </row>
    <row r="36">
      <c r="A36">
        <f>ROW(A36)-1</f>
        <v>35</v>
      </c>
      <c r="B36">
        <v>1</v>
      </c>
      <c r="C36" t="str" cm="1">
        <f t="array" ref="C36">GetValue("Cat","Name",B36)</f>
        <v>string</v>
      </c>
      <c r="D36" t="str">
        <v>varchar(n)</v>
      </c>
      <c r="E36" t="str">
        <v/>
      </c>
      <c r="F36" t="str">
        <v/>
      </c>
      <c r="G36" t="b">
        <v>1</v>
      </c>
      <c r="H36" t="b">
        <v>0</v>
      </c>
      <c r="I36" t="b">
        <v>0</v>
      </c>
      <c r="J36" t="b">
        <v>0</v>
      </c>
      <c r="K36" t="b">
        <v>1</v>
      </c>
      <c r="L36" t="b">
        <v>1</v>
      </c>
      <c r="M36" t="b">
        <v>1</v>
      </c>
    </row>
    <row r="37">
      <c r="A37">
        <f>ROW(A37)-1</f>
        <v>36</v>
      </c>
      <c r="B37">
        <v>6</v>
      </c>
      <c r="C37" t="str" cm="1">
        <f t="array" ref="C37">GetValue("Cat","Name",B37)</f>
        <v>text</v>
      </c>
      <c r="D37" t="str">
        <v>varchar(max)</v>
      </c>
      <c r="E37" t="str">
        <v/>
      </c>
      <c r="F37" t="str">
        <v/>
      </c>
      <c r="G37" t="b">
        <v>0</v>
      </c>
      <c r="H37" t="b">
        <v>0</v>
      </c>
      <c r="I37" t="b">
        <v>0</v>
      </c>
      <c r="J37" t="b">
        <v>0</v>
      </c>
      <c r="K37" t="b">
        <v>0</v>
      </c>
      <c r="L37" t="b">
        <v>0</v>
      </c>
      <c r="M37" t="b">
        <v>1</v>
      </c>
    </row>
    <row r="38">
      <c r="A38">
        <f>ROW(A38)-1</f>
        <v>37</v>
      </c>
      <c r="B38">
        <v>6</v>
      </c>
      <c r="C38" t="str" cm="1">
        <f t="array" ref="C38">GetValue("Cat","Name",B38)</f>
        <v>text</v>
      </c>
      <c r="D38" t="str">
        <v>xml</v>
      </c>
      <c r="E38" t="str">
        <v/>
      </c>
      <c r="F38" t="str">
        <v/>
      </c>
      <c r="G38" t="b">
        <v>0</v>
      </c>
      <c r="H38" t="b">
        <v>0</v>
      </c>
      <c r="I38" t="b">
        <v>0</v>
      </c>
      <c r="J38" t="b">
        <v>0</v>
      </c>
      <c r="K38" t="b">
        <v>0</v>
      </c>
      <c r="L38" t="b">
        <v>0</v>
      </c>
      <c r="M38" t="b">
        <v>1</v>
      </c>
    </row>
    <row r="39">
      <c r="A39">
        <f>ROW(A39)-1</f>
        <v>38</v>
      </c>
      <c r="B39">
        <v>6</v>
      </c>
      <c r="C39" t="str" cm="1">
        <f t="array" ref="C39">GetValue("Cat","Name",B39)</f>
        <v>text</v>
      </c>
      <c r="D39" t="str">
        <v>json</v>
      </c>
      <c r="E39" t="str">
        <v/>
      </c>
      <c r="F39" t="str">
        <v/>
      </c>
      <c r="G39" t="b">
        <v>0</v>
      </c>
      <c r="H39" t="b">
        <v>0</v>
      </c>
      <c r="I39" t="b">
        <v>0</v>
      </c>
      <c r="J39" t="b">
        <v>0</v>
      </c>
      <c r="K39" t="b">
        <v>0</v>
      </c>
      <c r="L39" t="b">
        <v>0</v>
      </c>
      <c r="M39" t="b">
        <v>1</v>
      </c>
    </row>
  </sheetData>
  <pageMargins left="0.511811024" right="0.511811024" top="0.787401575" bottom="0.787401575" header="0.31496062" footer="0.31496062"/>
  <ignoredErrors>
    <ignoredError numberStoredAsText="1" sqref="A1:M39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H381"/>
  <sheetViews>
    <sheetView workbookViewId="0" rightToLeft="0"/>
  </sheetViews>
  <sheetData>
    <row r="1">
      <c r="A1" t="str">
        <v>*Id</v>
      </c>
      <c r="B1" t="str">
        <v>EngineId</v>
      </c>
      <c r="C1" t="str">
        <v>#EngineName</v>
      </c>
      <c r="D1" t="str">
        <v>TypeId</v>
      </c>
      <c r="E1" t="str">
        <v>#TypeName</v>
      </c>
      <c r="F1" t="str">
        <v>Name</v>
      </c>
      <c r="G1" t="str">
        <v>Length</v>
      </c>
      <c r="H1" t="str">
        <v>Decimals</v>
      </c>
    </row>
    <row r="2">
      <c r="A2">
        <f>ROW(A2)-1</f>
        <v>1</v>
      </c>
      <c r="B2">
        <v>1</v>
      </c>
      <c r="C2" t="str" cm="1">
        <f t="array" ref="C2">GetValue("Eng","Name",B2)</f>
        <v>SQL Server</v>
      </c>
      <c r="D2">
        <v>1</v>
      </c>
      <c r="E2" t="str" cm="1">
        <f t="array" ref="E2">GetValue("Typ","Name",D2)</f>
        <v>bigint (8 bytes)</v>
      </c>
      <c r="F2" t="str">
        <v>bigint</v>
      </c>
    </row>
    <row r="3">
      <c r="A3">
        <f>ROW(A3)-1</f>
        <v>2</v>
      </c>
      <c r="B3">
        <v>1</v>
      </c>
      <c r="C3" t="str" cm="1">
        <f t="array" ref="C3">GetValue("Eng","Name",B3)</f>
        <v>SQL Server</v>
      </c>
      <c r="D3">
        <v>2</v>
      </c>
      <c r="E3" t="str" cm="1">
        <f t="array" ref="E3">GetValue("Typ","Name",D3)</f>
        <v>binary</v>
      </c>
      <c r="F3" t="str">
        <v>binary</v>
      </c>
    </row>
    <row r="4">
      <c r="A4">
        <f>ROW(A4)-1</f>
        <v>3</v>
      </c>
      <c r="B4">
        <v>1</v>
      </c>
      <c r="C4" t="str" cm="1">
        <f t="array" ref="C4">GetValue("Eng","Name",B4)</f>
        <v>SQL Server</v>
      </c>
      <c r="D4">
        <v>3</v>
      </c>
      <c r="E4" t="str" cm="1">
        <f t="array" ref="E4">GetValue("Typ","Name",D4)</f>
        <v>bit (1 bit)</v>
      </c>
      <c r="F4" t="str">
        <v>bit</v>
      </c>
    </row>
    <row r="5">
      <c r="A5">
        <f>ROW(A5)-1</f>
        <v>4</v>
      </c>
      <c r="B5">
        <v>1</v>
      </c>
      <c r="C5" t="str" cm="1">
        <f t="array" ref="C5">GetValue("Eng","Name",B5)</f>
        <v>SQL Server</v>
      </c>
      <c r="D5">
        <v>4</v>
      </c>
      <c r="E5" t="str" cm="1">
        <f t="array" ref="E5">GetValue("Typ","Name",D5)</f>
        <v>char(n)</v>
      </c>
      <c r="F5" t="str">
        <v>char</v>
      </c>
    </row>
    <row r="6">
      <c r="A6">
        <f>ROW(A6)-1</f>
        <v>5</v>
      </c>
      <c r="B6">
        <v>1</v>
      </c>
      <c r="C6" t="str" cm="1">
        <f t="array" ref="C6">GetValue("Eng","Name",B6)</f>
        <v>SQL Server</v>
      </c>
      <c r="D6">
        <v>5</v>
      </c>
      <c r="E6" t="str" cm="1">
        <f t="array" ref="E6">GetValue("Typ","Name",D6)</f>
        <v>date</v>
      </c>
      <c r="F6" t="str">
        <v>date</v>
      </c>
    </row>
    <row r="7">
      <c r="A7">
        <f>ROW(A7)-1</f>
        <v>6</v>
      </c>
      <c r="B7">
        <v>1</v>
      </c>
      <c r="C7" t="str" cm="1">
        <f t="array" ref="C7">GetValue("Eng","Name",B7)</f>
        <v>SQL Server</v>
      </c>
      <c r="D7">
        <v>6</v>
      </c>
      <c r="E7" t="str" cm="1">
        <f t="array" ref="E7">GetValue("Typ","Name",D7)</f>
        <v>datetime</v>
      </c>
      <c r="F7" t="str">
        <v>datetime</v>
      </c>
    </row>
    <row r="8">
      <c r="A8">
        <f>ROW(A8)-1</f>
        <v>7</v>
      </c>
      <c r="B8">
        <v>1</v>
      </c>
      <c r="C8" t="str" cm="1">
        <f t="array" ref="C8">GetValue("Eng","Name",B8)</f>
        <v>SQL Server</v>
      </c>
      <c r="D8">
        <v>7</v>
      </c>
      <c r="E8" t="str" cm="1">
        <f t="array" ref="E8">GetValue("Typ","Name",D8)</f>
        <v>datetime2(s)</v>
      </c>
      <c r="F8" t="str">
        <v>datetime2</v>
      </c>
    </row>
    <row r="9">
      <c r="A9">
        <f>ROW(A9)-1</f>
        <v>8</v>
      </c>
      <c r="B9">
        <v>1</v>
      </c>
      <c r="C9" t="str" cm="1">
        <f t="array" ref="C9">GetValue("Eng","Name",B9)</f>
        <v>SQL Server</v>
      </c>
      <c r="D9">
        <v>8</v>
      </c>
      <c r="E9" t="str" cm="1">
        <f t="array" ref="E9">GetValue("Typ","Name",D9)</f>
        <v>datetimeoffset(s)</v>
      </c>
      <c r="F9" t="str">
        <v>datetimeoffset</v>
      </c>
    </row>
    <row r="10">
      <c r="A10">
        <f>ROW(A10)-1</f>
        <v>9</v>
      </c>
      <c r="B10">
        <v>1</v>
      </c>
      <c r="C10" t="str" cm="1">
        <f t="array" ref="C10">GetValue("Eng","Name",B10)</f>
        <v>SQL Server</v>
      </c>
      <c r="D10">
        <v>9</v>
      </c>
      <c r="E10" t="str" cm="1">
        <f t="array" ref="E10">GetValue("Typ","Name",D10)</f>
        <v>decimal(p ,s)</v>
      </c>
      <c r="F10" t="str">
        <v>decimal</v>
      </c>
    </row>
    <row r="11">
      <c r="A11">
        <f>ROW(A11)-1</f>
        <v>10</v>
      </c>
      <c r="B11">
        <v>1</v>
      </c>
      <c r="C11" t="str" cm="1">
        <f t="array" ref="C11">GetValue("Eng","Name",B11)</f>
        <v>SQL Server</v>
      </c>
      <c r="D11">
        <v>10</v>
      </c>
      <c r="E11" t="str" cm="1">
        <f t="array" ref="E11">GetValue("Typ","Name",D11)</f>
        <v>float(n)</v>
      </c>
      <c r="F11" t="str">
        <v>float</v>
      </c>
    </row>
    <row r="12">
      <c r="A12">
        <f>ROW(A12)-1</f>
        <v>11</v>
      </c>
      <c r="B12">
        <v>1</v>
      </c>
      <c r="C12" t="str" cm="1">
        <f t="array" ref="C12">GetValue("Eng","Name",B12)</f>
        <v>SQL Server</v>
      </c>
      <c r="D12">
        <v>11</v>
      </c>
      <c r="E12" t="str" cm="1">
        <f t="array" ref="E12">GetValue("Typ","Name",D12)</f>
        <v>geography</v>
      </c>
      <c r="F12" t="str">
        <v>geography</v>
      </c>
    </row>
    <row r="13">
      <c r="A13">
        <f>ROW(A13)-1</f>
        <v>12</v>
      </c>
      <c r="B13">
        <v>1</v>
      </c>
      <c r="C13" t="str" cm="1">
        <f t="array" ref="C13">GetValue("Eng","Name",B13)</f>
        <v>SQL Server</v>
      </c>
      <c r="D13">
        <v>12</v>
      </c>
      <c r="E13" t="str" cm="1">
        <f t="array" ref="E13">GetValue("Typ","Name",D13)</f>
        <v>geometry</v>
      </c>
      <c r="F13" t="str">
        <v>geometry</v>
      </c>
    </row>
    <row r="14">
      <c r="A14">
        <f>ROW(A14)-1</f>
        <v>13</v>
      </c>
      <c r="B14">
        <v>1</v>
      </c>
      <c r="C14" t="str" cm="1">
        <f t="array" ref="C14">GetValue("Eng","Name",B14)</f>
        <v>SQL Server</v>
      </c>
      <c r="D14">
        <v>13</v>
      </c>
      <c r="E14" t="str" cm="1">
        <f t="array" ref="E14">GetValue("Typ","Name",D14)</f>
        <v>hierarchyid</v>
      </c>
      <c r="F14" t="str">
        <v>hierarchyid</v>
      </c>
    </row>
    <row r="15">
      <c r="A15">
        <f>ROW(A15)-1</f>
        <v>14</v>
      </c>
      <c r="B15">
        <v>1</v>
      </c>
      <c r="C15" t="str" cm="1">
        <f t="array" ref="C15">GetValue("Eng","Name",B15)</f>
        <v>SQL Server</v>
      </c>
      <c r="D15">
        <v>14</v>
      </c>
      <c r="E15" t="str" cm="1">
        <f t="array" ref="E15">GetValue("Typ","Name",D15)</f>
        <v>image</v>
      </c>
      <c r="F15" t="str">
        <v>image</v>
      </c>
    </row>
    <row r="16">
      <c r="A16">
        <f>ROW(A16)-1</f>
        <v>15</v>
      </c>
      <c r="B16">
        <v>1</v>
      </c>
      <c r="C16" t="str" cm="1">
        <f t="array" ref="C16">GetValue("Eng","Name",B16)</f>
        <v>SQL Server</v>
      </c>
      <c r="D16">
        <v>15</v>
      </c>
      <c r="E16" t="str" cm="1">
        <f t="array" ref="E16">GetValue("Typ","Name",D16)</f>
        <v>int (4 bytes)</v>
      </c>
      <c r="F16" t="str">
        <v>int</v>
      </c>
    </row>
    <row r="17">
      <c r="A17">
        <f>ROW(A17)-1</f>
        <v>16</v>
      </c>
      <c r="B17">
        <v>1</v>
      </c>
      <c r="C17" t="str" cm="1">
        <f t="array" ref="C17">GetValue("Eng","Name",B17)</f>
        <v>SQL Server</v>
      </c>
      <c r="D17">
        <v>16</v>
      </c>
      <c r="E17" t="str" cm="1">
        <f t="array" ref="E17">GetValue("Typ","Name",D17)</f>
        <v>money</v>
      </c>
      <c r="F17" t="str">
        <v>money</v>
      </c>
    </row>
    <row r="18">
      <c r="A18">
        <f>ROW(A18)-1</f>
        <v>17</v>
      </c>
      <c r="B18">
        <v>1</v>
      </c>
      <c r="C18" t="str" cm="1">
        <f t="array" ref="C18">GetValue("Eng","Name",B18)</f>
        <v>SQL Server</v>
      </c>
      <c r="D18">
        <v>17</v>
      </c>
      <c r="E18" t="str" cm="1">
        <f t="array" ref="E18">GetValue("Typ","Name",D18)</f>
        <v>nchar(n)</v>
      </c>
      <c r="F18" t="str">
        <v>nchar</v>
      </c>
    </row>
    <row r="19">
      <c r="A19">
        <f>ROW(A19)-1</f>
        <v>18</v>
      </c>
      <c r="B19">
        <v>1</v>
      </c>
      <c r="C19" t="str" cm="1">
        <f t="array" ref="C19">GetValue("Eng","Name",B19)</f>
        <v>SQL Server</v>
      </c>
      <c r="D19">
        <v>18</v>
      </c>
      <c r="E19" t="str" cm="1">
        <f t="array" ref="E19">GetValue("Typ","Name",D19)</f>
        <v>ntext</v>
      </c>
      <c r="F19" t="str">
        <v>ntext</v>
      </c>
    </row>
    <row r="20">
      <c r="A20">
        <f>ROW(A20)-1</f>
        <v>19</v>
      </c>
      <c r="B20">
        <v>1</v>
      </c>
      <c r="C20" t="str" cm="1">
        <f t="array" ref="C20">GetValue("Eng","Name",B20)</f>
        <v>SQL Server</v>
      </c>
      <c r="D20">
        <v>19</v>
      </c>
      <c r="E20" t="str" cm="1">
        <f t="array" ref="E20">GetValue("Typ","Name",D20)</f>
        <v>numeric(p,s)</v>
      </c>
      <c r="F20" t="str">
        <v>numeric</v>
      </c>
    </row>
    <row r="21">
      <c r="A21">
        <f>ROW(A21)-1</f>
        <v>20</v>
      </c>
      <c r="B21">
        <v>1</v>
      </c>
      <c r="C21" t="str" cm="1">
        <f t="array" ref="C21">GetValue("Eng","Name",B21)</f>
        <v>SQL Server</v>
      </c>
      <c r="D21">
        <v>20</v>
      </c>
      <c r="E21" t="str" cm="1">
        <f t="array" ref="E21">GetValue("Typ","Name",D21)</f>
        <v>nvarchar(n)</v>
      </c>
      <c r="F21" t="str">
        <v>nvarchar</v>
      </c>
    </row>
    <row r="22">
      <c r="A22">
        <f>ROW(A22)-1</f>
        <v>21</v>
      </c>
      <c r="B22">
        <v>1</v>
      </c>
      <c r="C22" t="str" cm="1">
        <f t="array" ref="C22">GetValue("Eng","Name",B22)</f>
        <v>SQL Server</v>
      </c>
      <c r="D22">
        <v>21</v>
      </c>
      <c r="E22" t="str" cm="1">
        <f t="array" ref="E22">GetValue("Typ","Name",D22)</f>
        <v>nvarchar(max)</v>
      </c>
      <c r="F22" t="str">
        <v>nvarchar(max)</v>
      </c>
    </row>
    <row r="23">
      <c r="A23">
        <f>ROW(A23)-1</f>
        <v>22</v>
      </c>
      <c r="B23">
        <v>1</v>
      </c>
      <c r="C23" t="str" cm="1">
        <f t="array" ref="C23">GetValue("Eng","Name",B23)</f>
        <v>SQL Server</v>
      </c>
      <c r="D23">
        <v>22</v>
      </c>
      <c r="E23" t="str" cm="1">
        <f t="array" ref="E23">GetValue("Typ","Name",D23)</f>
        <v>real</v>
      </c>
      <c r="F23" t="str">
        <v>real</v>
      </c>
    </row>
    <row r="24">
      <c r="A24">
        <f>ROW(A24)-1</f>
        <v>23</v>
      </c>
      <c r="B24">
        <v>1</v>
      </c>
      <c r="C24" t="str" cm="1">
        <f t="array" ref="C24">GetValue("Eng","Name",B24)</f>
        <v>SQL Server</v>
      </c>
      <c r="D24">
        <v>23</v>
      </c>
      <c r="E24" t="str" cm="1">
        <f t="array" ref="E24">GetValue("Typ","Name",D24)</f>
        <v>smalldatetime</v>
      </c>
      <c r="F24" t="str">
        <v>smalldatetime</v>
      </c>
    </row>
    <row r="25">
      <c r="A25">
        <f>ROW(A25)-1</f>
        <v>24</v>
      </c>
      <c r="B25">
        <v>1</v>
      </c>
      <c r="C25" t="str" cm="1">
        <f t="array" ref="C25">GetValue("Eng","Name",B25)</f>
        <v>SQL Server</v>
      </c>
      <c r="D25">
        <v>24</v>
      </c>
      <c r="E25" t="str" cm="1">
        <f t="array" ref="E25">GetValue("Typ","Name",D25)</f>
        <v>smallint (2 bytes)</v>
      </c>
      <c r="F25" t="str">
        <v>smallint</v>
      </c>
    </row>
    <row r="26">
      <c r="A26">
        <f>ROW(A26)-1</f>
        <v>25</v>
      </c>
      <c r="B26">
        <v>1</v>
      </c>
      <c r="C26" t="str" cm="1">
        <f t="array" ref="C26">GetValue("Eng","Name",B26)</f>
        <v>SQL Server</v>
      </c>
      <c r="D26">
        <v>25</v>
      </c>
      <c r="E26" t="str" cm="1">
        <f t="array" ref="E26">GetValue("Typ","Name",D26)</f>
        <v>smallmoney</v>
      </c>
      <c r="F26" t="str">
        <v>smallmoney</v>
      </c>
    </row>
    <row r="27">
      <c r="A27">
        <f>ROW(A27)-1</f>
        <v>26</v>
      </c>
      <c r="B27">
        <v>1</v>
      </c>
      <c r="C27" t="str" cm="1">
        <f t="array" ref="C27">GetValue("Eng","Name",B27)</f>
        <v>SQL Server</v>
      </c>
      <c r="D27">
        <v>26</v>
      </c>
      <c r="E27" t="str" cm="1">
        <f t="array" ref="E27">GetValue("Typ","Name",D27)</f>
        <v>sql_variant</v>
      </c>
      <c r="F27" t="str">
        <v>sql_variant</v>
      </c>
    </row>
    <row r="28">
      <c r="A28">
        <f>ROW(A28)-1</f>
        <v>27</v>
      </c>
      <c r="B28">
        <v>1</v>
      </c>
      <c r="C28" t="str" cm="1">
        <f t="array" ref="C28">GetValue("Eng","Name",B28)</f>
        <v>SQL Server</v>
      </c>
      <c r="D28">
        <v>27</v>
      </c>
      <c r="E28" t="str" cm="1">
        <f t="array" ref="E28">GetValue("Typ","Name",D28)</f>
        <v>sysname</v>
      </c>
      <c r="F28" t="str">
        <v>sysname</v>
      </c>
    </row>
    <row r="29">
      <c r="A29">
        <f>ROW(A29)-1</f>
        <v>28</v>
      </c>
      <c r="B29">
        <v>1</v>
      </c>
      <c r="C29" t="str" cm="1">
        <f t="array" ref="C29">GetValue("Eng","Name",B29)</f>
        <v>SQL Server</v>
      </c>
      <c r="D29">
        <v>28</v>
      </c>
      <c r="E29" t="str" cm="1">
        <f t="array" ref="E29">GetValue("Typ","Name",D29)</f>
        <v>text</v>
      </c>
      <c r="F29" t="str">
        <v>text</v>
      </c>
    </row>
    <row r="30">
      <c r="A30">
        <f>ROW(A30)-1</f>
        <v>29</v>
      </c>
      <c r="B30">
        <v>1</v>
      </c>
      <c r="C30" t="str" cm="1">
        <f t="array" ref="C30">GetValue("Eng","Name",B30)</f>
        <v>SQL Server</v>
      </c>
      <c r="D30">
        <v>29</v>
      </c>
      <c r="E30" t="str" cm="1">
        <f t="array" ref="E30">GetValue("Typ","Name",D30)</f>
        <v>time(s)</v>
      </c>
      <c r="F30" t="str">
        <v>time</v>
      </c>
    </row>
    <row r="31">
      <c r="A31">
        <f>ROW(A31)-1</f>
        <v>30</v>
      </c>
      <c r="B31">
        <v>1</v>
      </c>
      <c r="C31" t="str" cm="1">
        <f t="array" ref="C31">GetValue("Eng","Name",B31)</f>
        <v>SQL Server</v>
      </c>
      <c r="D31">
        <v>30</v>
      </c>
      <c r="E31" t="str" cm="1">
        <f t="array" ref="E31">GetValue("Typ","Name",D31)</f>
        <v>timestamp</v>
      </c>
      <c r="F31" t="str">
        <v>timestamp</v>
      </c>
    </row>
    <row r="32">
      <c r="A32">
        <f>ROW(A32)-1</f>
        <v>31</v>
      </c>
      <c r="B32">
        <v>1</v>
      </c>
      <c r="C32" t="str" cm="1">
        <f t="array" ref="C32">GetValue("Eng","Name",B32)</f>
        <v>SQL Server</v>
      </c>
      <c r="D32">
        <v>31</v>
      </c>
      <c r="E32" t="str" cm="1">
        <f t="array" ref="E32">GetValue("Typ","Name",D32)</f>
        <v>tinyint (1 byte)</v>
      </c>
      <c r="F32" t="str">
        <v>tinyint</v>
      </c>
    </row>
    <row r="33">
      <c r="A33">
        <f>ROW(A33)-1</f>
        <v>32</v>
      </c>
      <c r="B33">
        <v>1</v>
      </c>
      <c r="C33" t="str" cm="1">
        <f t="array" ref="C33">GetValue("Eng","Name",B33)</f>
        <v>SQL Server</v>
      </c>
      <c r="D33">
        <v>32</v>
      </c>
      <c r="E33" t="str" cm="1">
        <f t="array" ref="E33">GetValue("Typ","Name",D33)</f>
        <v>uniqueidentifier</v>
      </c>
      <c r="F33" t="str">
        <v>uniqueidentifier</v>
      </c>
    </row>
    <row r="34">
      <c r="A34">
        <f>ROW(A34)-1</f>
        <v>33</v>
      </c>
      <c r="B34">
        <v>1</v>
      </c>
      <c r="C34" t="str" cm="1">
        <f t="array" ref="C34">GetValue("Eng","Name",B34)</f>
        <v>SQL Server</v>
      </c>
      <c r="D34">
        <v>33</v>
      </c>
      <c r="E34" t="str" cm="1">
        <f t="array" ref="E34">GetValue("Typ","Name",D34)</f>
        <v>varbinary(n)</v>
      </c>
      <c r="F34" t="str">
        <v>varbinary</v>
      </c>
    </row>
    <row r="35">
      <c r="A35">
        <f>ROW(A35)-1</f>
        <v>34</v>
      </c>
      <c r="B35">
        <v>1</v>
      </c>
      <c r="C35" t="str" cm="1">
        <f t="array" ref="C35">GetValue("Eng","Name",B35)</f>
        <v>SQL Server</v>
      </c>
      <c r="D35">
        <v>34</v>
      </c>
      <c r="E35" t="str" cm="1">
        <f t="array" ref="E35">GetValue("Typ","Name",D35)</f>
        <v>varbinary(max)</v>
      </c>
      <c r="F35" t="str">
        <v>varbinary(max)</v>
      </c>
    </row>
    <row r="36">
      <c r="A36">
        <f>ROW(A36)-1</f>
        <v>35</v>
      </c>
      <c r="B36">
        <v>1</v>
      </c>
      <c r="C36" t="str" cm="1">
        <f t="array" ref="C36">GetValue("Eng","Name",B36)</f>
        <v>SQL Server</v>
      </c>
      <c r="D36">
        <v>35</v>
      </c>
      <c r="E36" t="str" cm="1">
        <f t="array" ref="E36">GetValue("Typ","Name",D36)</f>
        <v>varchar(n)</v>
      </c>
      <c r="F36" t="str">
        <v>varchar</v>
      </c>
    </row>
    <row r="37">
      <c r="A37">
        <f>ROW(A37)-1</f>
        <v>36</v>
      </c>
      <c r="B37">
        <v>1</v>
      </c>
      <c r="C37" t="str" cm="1">
        <f t="array" ref="C37">GetValue("Eng","Name",B37)</f>
        <v>SQL Server</v>
      </c>
      <c r="D37">
        <v>36</v>
      </c>
      <c r="E37" t="str" cm="1">
        <f t="array" ref="E37">GetValue("Typ","Name",D37)</f>
        <v>varchar(max)</v>
      </c>
      <c r="F37" t="str">
        <v>varchar(max)</v>
      </c>
    </row>
    <row r="38">
      <c r="A38">
        <f>ROW(A38)-1</f>
        <v>37</v>
      </c>
      <c r="B38">
        <v>1</v>
      </c>
      <c r="C38" t="str" cm="1">
        <f t="array" ref="C38">GetValue("Eng","Name",B38)</f>
        <v>SQL Server</v>
      </c>
      <c r="D38">
        <v>37</v>
      </c>
      <c r="E38" t="str" cm="1">
        <f t="array" ref="E38">GetValue("Typ","Name",D38)</f>
        <v>xml</v>
      </c>
      <c r="F38" t="str">
        <v>xml</v>
      </c>
    </row>
    <row r="39">
      <c r="A39">
        <f>ROW(A39)-1</f>
        <v>38</v>
      </c>
      <c r="B39">
        <v>1</v>
      </c>
      <c r="C39" t="str" cm="1">
        <f t="array" ref="C39">GetValue("Eng","Name",B39)</f>
        <v>SQL Server</v>
      </c>
      <c r="D39">
        <v>38</v>
      </c>
      <c r="E39" t="str" cm="1">
        <f t="array" ref="E39">GetValue("Typ","Name",D39)</f>
        <v>json</v>
      </c>
      <c r="F39" t="str">
        <v>nvarchar(max)</v>
      </c>
    </row>
    <row r="40">
      <c r="A40">
        <f>ROW(A40)-1</f>
        <v>39</v>
      </c>
      <c r="B40">
        <v>2</v>
      </c>
      <c r="C40" t="str" cm="1">
        <f t="array" ref="C40">GetValue("Eng","Name",B40)</f>
        <v>MySQL</v>
      </c>
      <c r="D40">
        <v>1</v>
      </c>
      <c r="E40" t="str" cm="1">
        <f t="array" ref="E40">GetValue("Typ","Name",D40)</f>
        <v>bigint (8 bytes)</v>
      </c>
      <c r="F40" t="str">
        <v>BIGINT</v>
      </c>
    </row>
    <row r="41">
      <c r="A41">
        <f>ROW(A41)-1</f>
        <v>40</v>
      </c>
      <c r="B41">
        <v>2</v>
      </c>
      <c r="C41" t="str" cm="1">
        <f t="array" ref="C41">GetValue("Eng","Name",B41)</f>
        <v>MySQL</v>
      </c>
      <c r="D41">
        <v>2</v>
      </c>
      <c r="E41" t="str" cm="1">
        <f t="array" ref="E41">GetValue("Typ","Name",D41)</f>
        <v>binary</v>
      </c>
      <c r="F41" t="str">
        <v>BINARY</v>
      </c>
    </row>
    <row r="42">
      <c r="A42">
        <f>ROW(A42)-1</f>
        <v>41</v>
      </c>
      <c r="B42">
        <v>2</v>
      </c>
      <c r="C42" t="str" cm="1">
        <f t="array" ref="C42">GetValue("Eng","Name",B42)</f>
        <v>MySQL</v>
      </c>
      <c r="D42">
        <v>3</v>
      </c>
      <c r="E42" t="str" cm="1">
        <f t="array" ref="E42">GetValue("Typ","Name",D42)</f>
        <v>bit (1 bit)</v>
      </c>
      <c r="F42" t="str">
        <v>BOOLEAN</v>
      </c>
    </row>
    <row r="43">
      <c r="A43">
        <f>ROW(A43)-1</f>
        <v>42</v>
      </c>
      <c r="B43">
        <v>2</v>
      </c>
      <c r="C43" t="str" cm="1">
        <f t="array" ref="C43">GetValue("Eng","Name",B43)</f>
        <v>MySQL</v>
      </c>
      <c r="D43">
        <v>4</v>
      </c>
      <c r="E43" t="str" cm="1">
        <f t="array" ref="E43">GetValue("Typ","Name",D43)</f>
        <v>char(n)</v>
      </c>
      <c r="F43" t="str">
        <v>CHAR</v>
      </c>
    </row>
    <row r="44">
      <c r="A44">
        <f>ROW(A44)-1</f>
        <v>43</v>
      </c>
      <c r="B44">
        <v>2</v>
      </c>
      <c r="C44" t="str" cm="1">
        <f t="array" ref="C44">GetValue("Eng","Name",B44)</f>
        <v>MySQL</v>
      </c>
      <c r="D44">
        <v>5</v>
      </c>
      <c r="E44" t="str" cm="1">
        <f t="array" ref="E44">GetValue("Typ","Name",D44)</f>
        <v>date</v>
      </c>
      <c r="F44" t="str">
        <v>DATE</v>
      </c>
    </row>
    <row r="45">
      <c r="A45">
        <f>ROW(A45)-1</f>
        <v>44</v>
      </c>
      <c r="B45">
        <v>2</v>
      </c>
      <c r="C45" t="str" cm="1">
        <f t="array" ref="C45">GetValue("Eng","Name",B45)</f>
        <v>MySQL</v>
      </c>
      <c r="D45">
        <v>6</v>
      </c>
      <c r="E45" t="str" cm="1">
        <f t="array" ref="E45">GetValue("Typ","Name",D45)</f>
        <v>datetime</v>
      </c>
      <c r="F45" t="str">
        <v>DATETIME</v>
      </c>
    </row>
    <row r="46">
      <c r="A46">
        <f>ROW(A46)-1</f>
        <v>45</v>
      </c>
      <c r="B46">
        <v>2</v>
      </c>
      <c r="C46" t="str" cm="1">
        <f t="array" ref="C46">GetValue("Eng","Name",B46)</f>
        <v>MySQL</v>
      </c>
      <c r="D46">
        <v>7</v>
      </c>
      <c r="E46" t="str" cm="1">
        <f t="array" ref="E46">GetValue("Typ","Name",D46)</f>
        <v>datetime2(s)</v>
      </c>
      <c r="F46" t="str">
        <v>DATETIME</v>
      </c>
      <c r="G46">
        <v>6</v>
      </c>
    </row>
    <row r="47">
      <c r="A47">
        <f>ROW(A47)-1</f>
        <v>46</v>
      </c>
      <c r="B47">
        <v>2</v>
      </c>
      <c r="C47" t="str" cm="1">
        <f t="array" ref="C47">GetValue("Eng","Name",B47)</f>
        <v>MySQL</v>
      </c>
      <c r="D47">
        <v>8</v>
      </c>
      <c r="E47" t="str" cm="1">
        <f t="array" ref="E47">GetValue("Typ","Name",D47)</f>
        <v>datetimeoffset(s)</v>
      </c>
      <c r="F47" t="str">
        <v>TIMESTAMP</v>
      </c>
    </row>
    <row r="48">
      <c r="A48">
        <f>ROW(A48)-1</f>
        <v>47</v>
      </c>
      <c r="B48">
        <v>2</v>
      </c>
      <c r="C48" t="str" cm="1">
        <f t="array" ref="C48">GetValue("Eng","Name",B48)</f>
        <v>MySQL</v>
      </c>
      <c r="D48">
        <v>9</v>
      </c>
      <c r="E48" t="str" cm="1">
        <f t="array" ref="E48">GetValue("Typ","Name",D48)</f>
        <v>decimal(p ,s)</v>
      </c>
      <c r="F48" t="str">
        <v>DECIMAL</v>
      </c>
    </row>
    <row r="49">
      <c r="A49">
        <f>ROW(A49)-1</f>
        <v>48</v>
      </c>
      <c r="B49">
        <v>2</v>
      </c>
      <c r="C49" t="str" cm="1">
        <f t="array" ref="C49">GetValue("Eng","Name",B49)</f>
        <v>MySQL</v>
      </c>
      <c r="D49">
        <v>10</v>
      </c>
      <c r="E49" t="str" cm="1">
        <f t="array" ref="E49">GetValue("Typ","Name",D49)</f>
        <v>float(n)</v>
      </c>
      <c r="F49" t="str">
        <v>DOUBLE</v>
      </c>
    </row>
    <row r="50">
      <c r="A50">
        <f>ROW(A50)-1</f>
        <v>49</v>
      </c>
      <c r="B50">
        <v>2</v>
      </c>
      <c r="C50" t="str" cm="1">
        <f t="array" ref="C50">GetValue("Eng","Name",B50)</f>
        <v>MySQL</v>
      </c>
      <c r="D50">
        <v>11</v>
      </c>
      <c r="E50" t="str" cm="1">
        <f t="array" ref="E50">GetValue("Typ","Name",D50)</f>
        <v>geography</v>
      </c>
      <c r="F50" t="str">
        <v>GEOMETRY</v>
      </c>
    </row>
    <row r="51">
      <c r="A51">
        <f>ROW(A51)-1</f>
        <v>50</v>
      </c>
      <c r="B51">
        <v>2</v>
      </c>
      <c r="C51" t="str" cm="1">
        <f t="array" ref="C51">GetValue("Eng","Name",B51)</f>
        <v>MySQL</v>
      </c>
      <c r="D51">
        <v>12</v>
      </c>
      <c r="E51" t="str" cm="1">
        <f t="array" ref="E51">GetValue("Typ","Name",D51)</f>
        <v>geometry</v>
      </c>
      <c r="F51" t="str">
        <v>GEOMETRY</v>
      </c>
    </row>
    <row r="52">
      <c r="A52">
        <f>ROW(A52)-1</f>
        <v>51</v>
      </c>
      <c r="B52">
        <v>2</v>
      </c>
      <c r="C52" t="str" cm="1">
        <f t="array" ref="C52">GetValue("Eng","Name",B52)</f>
        <v>MySQL</v>
      </c>
      <c r="D52">
        <v>13</v>
      </c>
      <c r="E52" t="str" cm="1">
        <f t="array" ref="E52">GetValue("Typ","Name",D52)</f>
        <v>hierarchyid</v>
      </c>
    </row>
    <row r="53">
      <c r="A53">
        <f>ROW(A53)-1</f>
        <v>52</v>
      </c>
      <c r="B53">
        <v>2</v>
      </c>
      <c r="C53" t="str" cm="1">
        <f t="array" ref="C53">GetValue("Eng","Name",B53)</f>
        <v>MySQL</v>
      </c>
      <c r="D53">
        <v>14</v>
      </c>
      <c r="E53" t="str" cm="1">
        <f t="array" ref="E53">GetValue("Typ","Name",D53)</f>
        <v>image</v>
      </c>
      <c r="F53" t="str">
        <v>LONGBLOB</v>
      </c>
    </row>
    <row r="54">
      <c r="A54">
        <f>ROW(A54)-1</f>
        <v>53</v>
      </c>
      <c r="B54">
        <v>2</v>
      </c>
      <c r="C54" t="str" cm="1">
        <f t="array" ref="C54">GetValue("Eng","Name",B54)</f>
        <v>MySQL</v>
      </c>
      <c r="D54">
        <v>15</v>
      </c>
      <c r="E54" t="str" cm="1">
        <f t="array" ref="E54">GetValue("Typ","Name",D54)</f>
        <v>int (4 bytes)</v>
      </c>
      <c r="F54" t="str">
        <v>INT</v>
      </c>
    </row>
    <row r="55">
      <c r="A55">
        <f>ROW(A55)-1</f>
        <v>54</v>
      </c>
      <c r="B55">
        <v>2</v>
      </c>
      <c r="C55" t="str" cm="1">
        <f t="array" ref="C55">GetValue("Eng","Name",B55)</f>
        <v>MySQL</v>
      </c>
      <c r="D55">
        <v>16</v>
      </c>
      <c r="E55" t="str" cm="1">
        <f t="array" ref="E55">GetValue("Typ","Name",D55)</f>
        <v>money</v>
      </c>
      <c r="F55" t="str">
        <v>DECIMAL</v>
      </c>
      <c r="G55">
        <v>19</v>
      </c>
      <c r="H55">
        <v>4</v>
      </c>
    </row>
    <row r="56">
      <c r="A56">
        <f>ROW(A56)-1</f>
        <v>55</v>
      </c>
      <c r="B56">
        <v>2</v>
      </c>
      <c r="C56" t="str" cm="1">
        <f t="array" ref="C56">GetValue("Eng","Name",B56)</f>
        <v>MySQL</v>
      </c>
      <c r="D56">
        <v>17</v>
      </c>
      <c r="E56" t="str" cm="1">
        <f t="array" ref="E56">GetValue("Typ","Name",D56)</f>
        <v>nchar(n)</v>
      </c>
      <c r="F56" t="str">
        <v>CHAR</v>
      </c>
    </row>
    <row r="57">
      <c r="A57">
        <f>ROW(A57)-1</f>
        <v>56</v>
      </c>
      <c r="B57">
        <v>2</v>
      </c>
      <c r="C57" t="str" cm="1">
        <f t="array" ref="C57">GetValue("Eng","Name",B57)</f>
        <v>MySQL</v>
      </c>
      <c r="D57">
        <v>18</v>
      </c>
      <c r="E57" t="str" cm="1">
        <f t="array" ref="E57">GetValue("Typ","Name",D57)</f>
        <v>ntext</v>
      </c>
      <c r="F57" t="str">
        <v>LONGTEXT</v>
      </c>
    </row>
    <row r="58">
      <c r="A58">
        <f>ROW(A58)-1</f>
        <v>57</v>
      </c>
      <c r="B58">
        <v>2</v>
      </c>
      <c r="C58" t="str" cm="1">
        <f t="array" ref="C58">GetValue("Eng","Name",B58)</f>
        <v>MySQL</v>
      </c>
      <c r="D58">
        <v>19</v>
      </c>
      <c r="E58" t="str" cm="1">
        <f t="array" ref="E58">GetValue("Typ","Name",D58)</f>
        <v>numeric(p,s)</v>
      </c>
      <c r="F58" t="str">
        <v>NUMERIC</v>
      </c>
    </row>
    <row r="59">
      <c r="A59">
        <f>ROW(A59)-1</f>
        <v>58</v>
      </c>
      <c r="B59">
        <v>2</v>
      </c>
      <c r="C59" t="str" cm="1">
        <f t="array" ref="C59">GetValue("Eng","Name",B59)</f>
        <v>MySQL</v>
      </c>
      <c r="D59">
        <v>20</v>
      </c>
      <c r="E59" t="str" cm="1">
        <f t="array" ref="E59">GetValue("Typ","Name",D59)</f>
        <v>nvarchar(n)</v>
      </c>
      <c r="F59" t="str">
        <v>VARCHAR</v>
      </c>
    </row>
    <row r="60">
      <c r="A60">
        <f>ROW(A60)-1</f>
        <v>59</v>
      </c>
      <c r="B60">
        <v>2</v>
      </c>
      <c r="C60" t="str" cm="1">
        <f t="array" ref="C60">GetValue("Eng","Name",B60)</f>
        <v>MySQL</v>
      </c>
      <c r="D60">
        <v>21</v>
      </c>
      <c r="E60" t="str" cm="1">
        <f t="array" ref="E60">GetValue("Typ","Name",D60)</f>
        <v>nvarchar(max)</v>
      </c>
      <c r="F60" t="str">
        <v>LONGTEXT</v>
      </c>
    </row>
    <row r="61">
      <c r="A61">
        <f>ROW(A61)-1</f>
        <v>60</v>
      </c>
      <c r="B61">
        <v>2</v>
      </c>
      <c r="C61" t="str" cm="1">
        <f t="array" ref="C61">GetValue("Eng","Name",B61)</f>
        <v>MySQL</v>
      </c>
      <c r="D61">
        <v>22</v>
      </c>
      <c r="E61" t="str" cm="1">
        <f t="array" ref="E61">GetValue("Typ","Name",D61)</f>
        <v>real</v>
      </c>
      <c r="F61" t="str">
        <v>FLOAT</v>
      </c>
    </row>
    <row r="62">
      <c r="A62">
        <f>ROW(A62)-1</f>
        <v>61</v>
      </c>
      <c r="B62">
        <v>2</v>
      </c>
      <c r="C62" t="str" cm="1">
        <f t="array" ref="C62">GetValue("Eng","Name",B62)</f>
        <v>MySQL</v>
      </c>
      <c r="D62">
        <v>23</v>
      </c>
      <c r="E62" t="str" cm="1">
        <f t="array" ref="E62">GetValue("Typ","Name",D62)</f>
        <v>smalldatetime</v>
      </c>
      <c r="F62" t="str">
        <v>DATETIME</v>
      </c>
    </row>
    <row r="63">
      <c r="A63">
        <f>ROW(A63)-1</f>
        <v>62</v>
      </c>
      <c r="B63">
        <v>2</v>
      </c>
      <c r="C63" t="str" cm="1">
        <f t="array" ref="C63">GetValue("Eng","Name",B63)</f>
        <v>MySQL</v>
      </c>
      <c r="D63">
        <v>24</v>
      </c>
      <c r="E63" t="str" cm="1">
        <f t="array" ref="E63">GetValue("Typ","Name",D63)</f>
        <v>smallint (2 bytes)</v>
      </c>
      <c r="F63" t="str">
        <v>SMALLINT</v>
      </c>
    </row>
    <row r="64">
      <c r="A64">
        <f>ROW(A64)-1</f>
        <v>63</v>
      </c>
      <c r="B64">
        <v>2</v>
      </c>
      <c r="C64" t="str" cm="1">
        <f t="array" ref="C64">GetValue("Eng","Name",B64)</f>
        <v>MySQL</v>
      </c>
      <c r="D64">
        <v>25</v>
      </c>
      <c r="E64" t="str" cm="1">
        <f t="array" ref="E64">GetValue("Typ","Name",D64)</f>
        <v>smallmoney</v>
      </c>
      <c r="F64" t="str">
        <v>DECIMAL</v>
      </c>
      <c r="G64">
        <v>10</v>
      </c>
      <c r="H64">
        <v>4</v>
      </c>
    </row>
    <row r="65">
      <c r="A65">
        <f>ROW(A65)-1</f>
        <v>64</v>
      </c>
      <c r="B65">
        <v>2</v>
      </c>
      <c r="C65" t="str" cm="1">
        <f t="array" ref="C65">GetValue("Eng","Name",B65)</f>
        <v>MySQL</v>
      </c>
      <c r="D65">
        <v>26</v>
      </c>
      <c r="E65" t="str" cm="1">
        <f t="array" ref="E65">GetValue("Typ","Name",D65)</f>
        <v>sql_variant</v>
      </c>
      <c r="F65" t="str">
        <v>TEXT</v>
      </c>
    </row>
    <row r="66">
      <c r="A66">
        <f>ROW(A66)-1</f>
        <v>65</v>
      </c>
      <c r="B66">
        <v>2</v>
      </c>
      <c r="C66" t="str" cm="1">
        <f t="array" ref="C66">GetValue("Eng","Name",B66)</f>
        <v>MySQL</v>
      </c>
      <c r="D66">
        <v>27</v>
      </c>
      <c r="E66" t="str" cm="1">
        <f t="array" ref="E66">GetValue("Typ","Name",D66)</f>
        <v>sysname</v>
      </c>
      <c r="F66" t="str">
        <v>VARCHAR</v>
      </c>
      <c r="G66">
        <v>64</v>
      </c>
    </row>
    <row r="67">
      <c r="A67">
        <f>ROW(A67)-1</f>
        <v>66</v>
      </c>
      <c r="B67">
        <v>2</v>
      </c>
      <c r="C67" t="str" cm="1">
        <f t="array" ref="C67">GetValue("Eng","Name",B67)</f>
        <v>MySQL</v>
      </c>
      <c r="D67">
        <v>28</v>
      </c>
      <c r="E67" t="str" cm="1">
        <f t="array" ref="E67">GetValue("Typ","Name",D67)</f>
        <v>text</v>
      </c>
      <c r="F67" t="str">
        <v>LONGTEXT</v>
      </c>
    </row>
    <row r="68">
      <c r="A68">
        <f>ROW(A68)-1</f>
        <v>67</v>
      </c>
      <c r="B68">
        <v>2</v>
      </c>
      <c r="C68" t="str" cm="1">
        <f t="array" ref="C68">GetValue("Eng","Name",B68)</f>
        <v>MySQL</v>
      </c>
      <c r="D68">
        <v>29</v>
      </c>
      <c r="E68" t="str" cm="1">
        <f t="array" ref="E68">GetValue("Typ","Name",D68)</f>
        <v>time(s)</v>
      </c>
      <c r="F68" t="str">
        <v>TIME</v>
      </c>
    </row>
    <row r="69">
      <c r="A69">
        <f>ROW(A69)-1</f>
        <v>68</v>
      </c>
      <c r="B69">
        <v>2</v>
      </c>
      <c r="C69" t="str" cm="1">
        <f t="array" ref="C69">GetValue("Eng","Name",B69)</f>
        <v>MySQL</v>
      </c>
      <c r="D69">
        <v>30</v>
      </c>
      <c r="E69" t="str" cm="1">
        <f t="array" ref="E69">GetValue("Typ","Name",D69)</f>
        <v>timestamp</v>
      </c>
      <c r="F69" t="str">
        <v>TIMESTAMP</v>
      </c>
    </row>
    <row r="70">
      <c r="A70">
        <f>ROW(A70)-1</f>
        <v>69</v>
      </c>
      <c r="B70">
        <v>2</v>
      </c>
      <c r="C70" t="str" cm="1">
        <f t="array" ref="C70">GetValue("Eng","Name",B70)</f>
        <v>MySQL</v>
      </c>
      <c r="D70">
        <v>31</v>
      </c>
      <c r="E70" t="str" cm="1">
        <f t="array" ref="E70">GetValue("Typ","Name",D70)</f>
        <v>tinyint (1 byte)</v>
      </c>
      <c r="F70" t="str">
        <v>TINYINT</v>
      </c>
    </row>
    <row r="71">
      <c r="A71">
        <f>ROW(A71)-1</f>
        <v>70</v>
      </c>
      <c r="B71">
        <v>2</v>
      </c>
      <c r="C71" t="str" cm="1">
        <f t="array" ref="C71">GetValue("Eng","Name",B71)</f>
        <v>MySQL</v>
      </c>
      <c r="D71">
        <v>32</v>
      </c>
      <c r="E71" t="str" cm="1">
        <f t="array" ref="E71">GetValue("Typ","Name",D71)</f>
        <v>uniqueidentifier</v>
      </c>
      <c r="F71" t="str">
        <v>CHAR</v>
      </c>
      <c r="G71">
        <v>36</v>
      </c>
    </row>
    <row r="72">
      <c r="A72">
        <f>ROW(A72)-1</f>
        <v>71</v>
      </c>
      <c r="B72">
        <v>2</v>
      </c>
      <c r="C72" t="str" cm="1">
        <f t="array" ref="C72">GetValue("Eng","Name",B72)</f>
        <v>MySQL</v>
      </c>
      <c r="D72">
        <v>33</v>
      </c>
      <c r="E72" t="str" cm="1">
        <f t="array" ref="E72">GetValue("Typ","Name",D72)</f>
        <v>varbinary(n)</v>
      </c>
      <c r="F72" t="str">
        <v>VARBINARY</v>
      </c>
    </row>
    <row r="73">
      <c r="A73">
        <f>ROW(A73)-1</f>
        <v>72</v>
      </c>
      <c r="B73">
        <v>2</v>
      </c>
      <c r="C73" t="str" cm="1">
        <f t="array" ref="C73">GetValue("Eng","Name",B73)</f>
        <v>MySQL</v>
      </c>
      <c r="D73">
        <v>34</v>
      </c>
      <c r="E73" t="str" cm="1">
        <f t="array" ref="E73">GetValue("Typ","Name",D73)</f>
        <v>varbinary(max)</v>
      </c>
      <c r="F73" t="str">
        <v>LONGBLOB</v>
      </c>
    </row>
    <row r="74">
      <c r="A74">
        <f>ROW(A74)-1</f>
        <v>73</v>
      </c>
      <c r="B74">
        <v>2</v>
      </c>
      <c r="C74" t="str" cm="1">
        <f t="array" ref="C74">GetValue("Eng","Name",B74)</f>
        <v>MySQL</v>
      </c>
      <c r="D74">
        <v>35</v>
      </c>
      <c r="E74" t="str" cm="1">
        <f t="array" ref="E74">GetValue("Typ","Name",D74)</f>
        <v>varchar(n)</v>
      </c>
      <c r="F74" t="str">
        <v>VARCHAR</v>
      </c>
    </row>
    <row r="75">
      <c r="A75">
        <f>ROW(A75)-1</f>
        <v>74</v>
      </c>
      <c r="B75">
        <v>2</v>
      </c>
      <c r="C75" t="str" cm="1">
        <f t="array" ref="C75">GetValue("Eng","Name",B75)</f>
        <v>MySQL</v>
      </c>
      <c r="D75">
        <v>36</v>
      </c>
      <c r="E75" t="str" cm="1">
        <f t="array" ref="E75">GetValue("Typ","Name",D75)</f>
        <v>varchar(max)</v>
      </c>
      <c r="F75" t="str">
        <v>LONGTEXT</v>
      </c>
    </row>
    <row r="76">
      <c r="A76">
        <f>ROW(A76)-1</f>
        <v>75</v>
      </c>
      <c r="B76">
        <v>2</v>
      </c>
      <c r="C76" t="str" cm="1">
        <f t="array" ref="C76">GetValue("Eng","Name",B76)</f>
        <v>MySQL</v>
      </c>
      <c r="D76">
        <v>37</v>
      </c>
      <c r="E76" t="str" cm="1">
        <f t="array" ref="E76">GetValue("Typ","Name",D76)</f>
        <v>xml</v>
      </c>
      <c r="F76" t="str">
        <v>LONGTEXT</v>
      </c>
    </row>
    <row r="77">
      <c r="A77">
        <f>ROW(A77)-1</f>
        <v>76</v>
      </c>
      <c r="B77">
        <v>2</v>
      </c>
      <c r="C77" t="str" cm="1">
        <f t="array" ref="C77">GetValue("Eng","Name",B77)</f>
        <v>MySQL</v>
      </c>
      <c r="D77">
        <v>38</v>
      </c>
      <c r="E77" t="str" cm="1">
        <f t="array" ref="E77">GetValue("Typ","Name",D77)</f>
        <v>json</v>
      </c>
      <c r="F77" t="str">
        <v>JSON</v>
      </c>
    </row>
    <row r="78">
      <c r="A78">
        <f>ROW(A78)-1</f>
        <v>77</v>
      </c>
      <c r="B78">
        <v>3</v>
      </c>
      <c r="C78" t="str" cm="1">
        <f t="array" ref="C78">GetValue("Eng","Name",B78)</f>
        <v>MariaDB</v>
      </c>
      <c r="D78">
        <v>1</v>
      </c>
      <c r="E78" t="str" cm="1">
        <f t="array" ref="E78">GetValue("Typ","Name",D78)</f>
        <v>bigint (8 bytes)</v>
      </c>
      <c r="F78" t="str">
        <v>BIGINT</v>
      </c>
    </row>
    <row r="79">
      <c r="A79">
        <f>ROW(A79)-1</f>
        <v>78</v>
      </c>
      <c r="B79">
        <v>3</v>
      </c>
      <c r="C79" t="str" cm="1">
        <f t="array" ref="C79">GetValue("Eng","Name",B79)</f>
        <v>MariaDB</v>
      </c>
      <c r="D79">
        <v>2</v>
      </c>
      <c r="E79" t="str" cm="1">
        <f t="array" ref="E79">GetValue("Typ","Name",D79)</f>
        <v>binary</v>
      </c>
      <c r="F79" t="str">
        <v>BINARY</v>
      </c>
    </row>
    <row r="80">
      <c r="A80">
        <f>ROW(A80)-1</f>
        <v>79</v>
      </c>
      <c r="B80">
        <v>3</v>
      </c>
      <c r="C80" t="str" cm="1">
        <f t="array" ref="C80">GetValue("Eng","Name",B80)</f>
        <v>MariaDB</v>
      </c>
      <c r="D80">
        <v>3</v>
      </c>
      <c r="E80" t="str" cm="1">
        <f t="array" ref="E80">GetValue("Typ","Name",D80)</f>
        <v>bit (1 bit)</v>
      </c>
      <c r="F80" t="str">
        <v>BOOLEAN</v>
      </c>
    </row>
    <row r="81">
      <c r="A81">
        <f>ROW(A81)-1</f>
        <v>80</v>
      </c>
      <c r="B81">
        <v>3</v>
      </c>
      <c r="C81" t="str" cm="1">
        <f t="array" ref="C81">GetValue("Eng","Name",B81)</f>
        <v>MariaDB</v>
      </c>
      <c r="D81">
        <v>4</v>
      </c>
      <c r="E81" t="str" cm="1">
        <f t="array" ref="E81">GetValue("Typ","Name",D81)</f>
        <v>char(n)</v>
      </c>
      <c r="F81" t="str">
        <v>CHAR</v>
      </c>
    </row>
    <row r="82">
      <c r="A82">
        <f>ROW(A82)-1</f>
        <v>81</v>
      </c>
      <c r="B82">
        <v>3</v>
      </c>
      <c r="C82" t="str" cm="1">
        <f t="array" ref="C82">GetValue("Eng","Name",B82)</f>
        <v>MariaDB</v>
      </c>
      <c r="D82">
        <v>5</v>
      </c>
      <c r="E82" t="str" cm="1">
        <f t="array" ref="E82">GetValue("Typ","Name",D82)</f>
        <v>date</v>
      </c>
      <c r="F82" t="str">
        <v>DATE</v>
      </c>
    </row>
    <row r="83">
      <c r="A83">
        <f>ROW(A83)-1</f>
        <v>82</v>
      </c>
      <c r="B83">
        <v>3</v>
      </c>
      <c r="C83" t="str" cm="1">
        <f t="array" ref="C83">GetValue("Eng","Name",B83)</f>
        <v>MariaDB</v>
      </c>
      <c r="D83">
        <v>6</v>
      </c>
      <c r="E83" t="str" cm="1">
        <f t="array" ref="E83">GetValue("Typ","Name",D83)</f>
        <v>datetime</v>
      </c>
      <c r="F83" t="str">
        <v>DATETIME</v>
      </c>
    </row>
    <row r="84">
      <c r="A84">
        <f>ROW(A84)-1</f>
        <v>83</v>
      </c>
      <c r="B84">
        <v>3</v>
      </c>
      <c r="C84" t="str" cm="1">
        <f t="array" ref="C84">GetValue("Eng","Name",B84)</f>
        <v>MariaDB</v>
      </c>
      <c r="D84">
        <v>7</v>
      </c>
      <c r="E84" t="str" cm="1">
        <f t="array" ref="E84">GetValue("Typ","Name",D84)</f>
        <v>datetime2(s)</v>
      </c>
      <c r="F84" t="str">
        <v>DATETIME</v>
      </c>
      <c r="G84">
        <v>6</v>
      </c>
    </row>
    <row r="85">
      <c r="A85">
        <f>ROW(A85)-1</f>
        <v>84</v>
      </c>
      <c r="B85">
        <v>3</v>
      </c>
      <c r="C85" t="str" cm="1">
        <f t="array" ref="C85">GetValue("Eng","Name",B85)</f>
        <v>MariaDB</v>
      </c>
      <c r="D85">
        <v>8</v>
      </c>
      <c r="E85" t="str" cm="1">
        <f t="array" ref="E85">GetValue("Typ","Name",D85)</f>
        <v>datetimeoffset(s)</v>
      </c>
      <c r="F85" t="str">
        <v>TIMESTAMP</v>
      </c>
    </row>
    <row r="86">
      <c r="A86">
        <f>ROW(A86)-1</f>
        <v>85</v>
      </c>
      <c r="B86">
        <v>3</v>
      </c>
      <c r="C86" t="str" cm="1">
        <f t="array" ref="C86">GetValue("Eng","Name",B86)</f>
        <v>MariaDB</v>
      </c>
      <c r="D86">
        <v>9</v>
      </c>
      <c r="E86" t="str" cm="1">
        <f t="array" ref="E86">GetValue("Typ","Name",D86)</f>
        <v>decimal(p ,s)</v>
      </c>
      <c r="F86" t="str">
        <v>DECIMAL</v>
      </c>
    </row>
    <row r="87">
      <c r="A87">
        <f>ROW(A87)-1</f>
        <v>86</v>
      </c>
      <c r="B87">
        <v>3</v>
      </c>
      <c r="C87" t="str" cm="1">
        <f t="array" ref="C87">GetValue("Eng","Name",B87)</f>
        <v>MariaDB</v>
      </c>
      <c r="D87">
        <v>10</v>
      </c>
      <c r="E87" t="str" cm="1">
        <f t="array" ref="E87">GetValue("Typ","Name",D87)</f>
        <v>float(n)</v>
      </c>
      <c r="F87" t="str">
        <v>DOUBLE</v>
      </c>
    </row>
    <row r="88">
      <c r="A88">
        <f>ROW(A88)-1</f>
        <v>87</v>
      </c>
      <c r="B88">
        <v>3</v>
      </c>
      <c r="C88" t="str" cm="1">
        <f t="array" ref="C88">GetValue("Eng","Name",B88)</f>
        <v>MariaDB</v>
      </c>
      <c r="D88">
        <v>11</v>
      </c>
      <c r="E88" t="str" cm="1">
        <f t="array" ref="E88">GetValue("Typ","Name",D88)</f>
        <v>geography</v>
      </c>
      <c r="F88" t="str">
        <v>GEOMETRY</v>
      </c>
    </row>
    <row r="89">
      <c r="A89">
        <f>ROW(A89)-1</f>
        <v>88</v>
      </c>
      <c r="B89">
        <v>3</v>
      </c>
      <c r="C89" t="str" cm="1">
        <f t="array" ref="C89">GetValue("Eng","Name",B89)</f>
        <v>MariaDB</v>
      </c>
      <c r="D89">
        <v>12</v>
      </c>
      <c r="E89" t="str" cm="1">
        <f t="array" ref="E89">GetValue("Typ","Name",D89)</f>
        <v>geometry</v>
      </c>
      <c r="F89" t="str">
        <v>GEOMETRY</v>
      </c>
    </row>
    <row r="90">
      <c r="A90">
        <f>ROW(A90)-1</f>
        <v>89</v>
      </c>
      <c r="B90">
        <v>3</v>
      </c>
      <c r="C90" t="str" cm="1">
        <f t="array" ref="C90">GetValue("Eng","Name",B90)</f>
        <v>MariaDB</v>
      </c>
      <c r="D90">
        <v>13</v>
      </c>
      <c r="E90" t="str" cm="1">
        <f t="array" ref="E90">GetValue("Typ","Name",D90)</f>
        <v>hierarchyid</v>
      </c>
    </row>
    <row r="91">
      <c r="A91">
        <f>ROW(A91)-1</f>
        <v>90</v>
      </c>
      <c r="B91">
        <v>3</v>
      </c>
      <c r="C91" t="str" cm="1">
        <f t="array" ref="C91">GetValue("Eng","Name",B91)</f>
        <v>MariaDB</v>
      </c>
      <c r="D91">
        <v>14</v>
      </c>
      <c r="E91" t="str" cm="1">
        <f t="array" ref="E91">GetValue("Typ","Name",D91)</f>
        <v>image</v>
      </c>
      <c r="F91" t="str">
        <v>LONGBLOB</v>
      </c>
    </row>
    <row r="92">
      <c r="A92">
        <f>ROW(A92)-1</f>
        <v>91</v>
      </c>
      <c r="B92">
        <v>3</v>
      </c>
      <c r="C92" t="str" cm="1">
        <f t="array" ref="C92">GetValue("Eng","Name",B92)</f>
        <v>MariaDB</v>
      </c>
      <c r="D92">
        <v>15</v>
      </c>
      <c r="E92" t="str" cm="1">
        <f t="array" ref="E92">GetValue("Typ","Name",D92)</f>
        <v>int (4 bytes)</v>
      </c>
      <c r="F92" t="str">
        <v>INT</v>
      </c>
    </row>
    <row r="93">
      <c r="A93">
        <f>ROW(A93)-1</f>
        <v>92</v>
      </c>
      <c r="B93">
        <v>3</v>
      </c>
      <c r="C93" t="str" cm="1">
        <f t="array" ref="C93">GetValue("Eng","Name",B93)</f>
        <v>MariaDB</v>
      </c>
      <c r="D93">
        <v>16</v>
      </c>
      <c r="E93" t="str" cm="1">
        <f t="array" ref="E93">GetValue("Typ","Name",D93)</f>
        <v>money</v>
      </c>
      <c r="F93" t="str">
        <v>DECIMAL</v>
      </c>
      <c r="G93">
        <v>19</v>
      </c>
      <c r="H93">
        <v>4</v>
      </c>
    </row>
    <row r="94">
      <c r="A94">
        <f>ROW(A94)-1</f>
        <v>93</v>
      </c>
      <c r="B94">
        <v>3</v>
      </c>
      <c r="C94" t="str" cm="1">
        <f t="array" ref="C94">GetValue("Eng","Name",B94)</f>
        <v>MariaDB</v>
      </c>
      <c r="D94">
        <v>17</v>
      </c>
      <c r="E94" t="str" cm="1">
        <f t="array" ref="E94">GetValue("Typ","Name",D94)</f>
        <v>nchar(n)</v>
      </c>
      <c r="F94" t="str">
        <v>CHAR</v>
      </c>
    </row>
    <row r="95">
      <c r="A95">
        <f>ROW(A95)-1</f>
        <v>94</v>
      </c>
      <c r="B95">
        <v>3</v>
      </c>
      <c r="C95" t="str" cm="1">
        <f t="array" ref="C95">GetValue("Eng","Name",B95)</f>
        <v>MariaDB</v>
      </c>
      <c r="D95">
        <v>18</v>
      </c>
      <c r="E95" t="str" cm="1">
        <f t="array" ref="E95">GetValue("Typ","Name",D95)</f>
        <v>ntext</v>
      </c>
      <c r="F95" t="str">
        <v>LONGTEXT</v>
      </c>
    </row>
    <row r="96">
      <c r="A96">
        <f>ROW(A96)-1</f>
        <v>95</v>
      </c>
      <c r="B96">
        <v>3</v>
      </c>
      <c r="C96" t="str" cm="1">
        <f t="array" ref="C96">GetValue("Eng","Name",B96)</f>
        <v>MariaDB</v>
      </c>
      <c r="D96">
        <v>19</v>
      </c>
      <c r="E96" t="str" cm="1">
        <f t="array" ref="E96">GetValue("Typ","Name",D96)</f>
        <v>numeric(p,s)</v>
      </c>
      <c r="F96" t="str">
        <v>NUMERIC</v>
      </c>
    </row>
    <row r="97">
      <c r="A97">
        <f>ROW(A97)-1</f>
        <v>96</v>
      </c>
      <c r="B97">
        <v>3</v>
      </c>
      <c r="C97" t="str" cm="1">
        <f t="array" ref="C97">GetValue("Eng","Name",B97)</f>
        <v>MariaDB</v>
      </c>
      <c r="D97">
        <v>20</v>
      </c>
      <c r="E97" t="str" cm="1">
        <f t="array" ref="E97">GetValue("Typ","Name",D97)</f>
        <v>nvarchar(n)</v>
      </c>
      <c r="F97" t="str">
        <v>VARCHAR</v>
      </c>
    </row>
    <row r="98">
      <c r="A98">
        <f>ROW(A98)-1</f>
        <v>97</v>
      </c>
      <c r="B98">
        <v>3</v>
      </c>
      <c r="C98" t="str" cm="1">
        <f t="array" ref="C98">GetValue("Eng","Name",B98)</f>
        <v>MariaDB</v>
      </c>
      <c r="D98">
        <v>21</v>
      </c>
      <c r="E98" t="str" cm="1">
        <f t="array" ref="E98">GetValue("Typ","Name",D98)</f>
        <v>nvarchar(max)</v>
      </c>
      <c r="F98" t="str">
        <v>LONGTEXT</v>
      </c>
    </row>
    <row r="99">
      <c r="A99">
        <f>ROW(A99)-1</f>
        <v>98</v>
      </c>
      <c r="B99">
        <v>3</v>
      </c>
      <c r="C99" t="str" cm="1">
        <f t="array" ref="C99">GetValue("Eng","Name",B99)</f>
        <v>MariaDB</v>
      </c>
      <c r="D99">
        <v>22</v>
      </c>
      <c r="E99" t="str" cm="1">
        <f t="array" ref="E99">GetValue("Typ","Name",D99)</f>
        <v>real</v>
      </c>
      <c r="F99" t="str">
        <v>FLOAT</v>
      </c>
    </row>
    <row r="100">
      <c r="A100">
        <f>ROW(A100)-1</f>
        <v>99</v>
      </c>
      <c r="B100">
        <v>3</v>
      </c>
      <c r="C100" t="str" cm="1">
        <f t="array" ref="C100">GetValue("Eng","Name",B100)</f>
        <v>MariaDB</v>
      </c>
      <c r="D100">
        <v>23</v>
      </c>
      <c r="E100" t="str" cm="1">
        <f t="array" ref="E100">GetValue("Typ","Name",D100)</f>
        <v>smalldatetime</v>
      </c>
      <c r="F100" t="str">
        <v>DATETIME</v>
      </c>
    </row>
    <row r="101">
      <c r="A101">
        <f>ROW(A101)-1</f>
        <v>100</v>
      </c>
      <c r="B101">
        <v>3</v>
      </c>
      <c r="C101" t="str" cm="1">
        <f t="array" ref="C101">GetValue("Eng","Name",B101)</f>
        <v>MariaDB</v>
      </c>
      <c r="D101">
        <v>24</v>
      </c>
      <c r="E101" t="str" cm="1">
        <f t="array" ref="E101">GetValue("Typ","Name",D101)</f>
        <v>smallint (2 bytes)</v>
      </c>
      <c r="F101" t="str">
        <v>SMALLINT</v>
      </c>
    </row>
    <row r="102">
      <c r="A102">
        <f>ROW(A102)-1</f>
        <v>101</v>
      </c>
      <c r="B102">
        <v>3</v>
      </c>
      <c r="C102" t="str" cm="1">
        <f t="array" ref="C102">GetValue("Eng","Name",B102)</f>
        <v>MariaDB</v>
      </c>
      <c r="D102">
        <v>25</v>
      </c>
      <c r="E102" t="str" cm="1">
        <f t="array" ref="E102">GetValue("Typ","Name",D102)</f>
        <v>smallmoney</v>
      </c>
      <c r="F102" t="str">
        <v>DECIMAL</v>
      </c>
      <c r="G102">
        <v>10</v>
      </c>
      <c r="H102">
        <v>4</v>
      </c>
    </row>
    <row r="103">
      <c r="A103">
        <f>ROW(A103)-1</f>
        <v>102</v>
      </c>
      <c r="B103">
        <v>3</v>
      </c>
      <c r="C103" t="str" cm="1">
        <f t="array" ref="C103">GetValue("Eng","Name",B103)</f>
        <v>MariaDB</v>
      </c>
      <c r="D103">
        <v>26</v>
      </c>
      <c r="E103" t="str" cm="1">
        <f t="array" ref="E103">GetValue("Typ","Name",D103)</f>
        <v>sql_variant</v>
      </c>
      <c r="F103" t="str">
        <v>TEXT</v>
      </c>
    </row>
    <row r="104">
      <c r="A104">
        <f>ROW(A104)-1</f>
        <v>103</v>
      </c>
      <c r="B104">
        <v>3</v>
      </c>
      <c r="C104" t="str" cm="1">
        <f t="array" ref="C104">GetValue("Eng","Name",B104)</f>
        <v>MariaDB</v>
      </c>
      <c r="D104">
        <v>27</v>
      </c>
      <c r="E104" t="str" cm="1">
        <f t="array" ref="E104">GetValue("Typ","Name",D104)</f>
        <v>sysname</v>
      </c>
      <c r="F104" t="str">
        <v>VARCHAR</v>
      </c>
      <c r="G104">
        <v>64</v>
      </c>
    </row>
    <row r="105">
      <c r="A105">
        <f>ROW(A105)-1</f>
        <v>104</v>
      </c>
      <c r="B105">
        <v>3</v>
      </c>
      <c r="C105" t="str" cm="1">
        <f t="array" ref="C105">GetValue("Eng","Name",B105)</f>
        <v>MariaDB</v>
      </c>
      <c r="D105">
        <v>28</v>
      </c>
      <c r="E105" t="str" cm="1">
        <f t="array" ref="E105">GetValue("Typ","Name",D105)</f>
        <v>text</v>
      </c>
      <c r="F105" t="str">
        <v>LONGTEXT</v>
      </c>
    </row>
    <row r="106">
      <c r="A106">
        <f>ROW(A106)-1</f>
        <v>105</v>
      </c>
      <c r="B106">
        <v>3</v>
      </c>
      <c r="C106" t="str" cm="1">
        <f t="array" ref="C106">GetValue("Eng","Name",B106)</f>
        <v>MariaDB</v>
      </c>
      <c r="D106">
        <v>29</v>
      </c>
      <c r="E106" t="str" cm="1">
        <f t="array" ref="E106">GetValue("Typ","Name",D106)</f>
        <v>time(s)</v>
      </c>
      <c r="F106" t="str">
        <v>TIME</v>
      </c>
    </row>
    <row r="107">
      <c r="A107">
        <f>ROW(A107)-1</f>
        <v>106</v>
      </c>
      <c r="B107">
        <v>3</v>
      </c>
      <c r="C107" t="str" cm="1">
        <f t="array" ref="C107">GetValue("Eng","Name",B107)</f>
        <v>MariaDB</v>
      </c>
      <c r="D107">
        <v>30</v>
      </c>
      <c r="E107" t="str" cm="1">
        <f t="array" ref="E107">GetValue("Typ","Name",D107)</f>
        <v>timestamp</v>
      </c>
      <c r="F107" t="str">
        <v>TIMESTAMP</v>
      </c>
    </row>
    <row r="108">
      <c r="A108">
        <f>ROW(A108)-1</f>
        <v>107</v>
      </c>
      <c r="B108">
        <v>3</v>
      </c>
      <c r="C108" t="str" cm="1">
        <f t="array" ref="C108">GetValue("Eng","Name",B108)</f>
        <v>MariaDB</v>
      </c>
      <c r="D108">
        <v>31</v>
      </c>
      <c r="E108" t="str" cm="1">
        <f t="array" ref="E108">GetValue("Typ","Name",D108)</f>
        <v>tinyint (1 byte)</v>
      </c>
      <c r="F108" t="str">
        <v>TINYINT</v>
      </c>
    </row>
    <row r="109">
      <c r="A109">
        <f>ROW(A109)-1</f>
        <v>108</v>
      </c>
      <c r="B109">
        <v>3</v>
      </c>
      <c r="C109" t="str" cm="1">
        <f t="array" ref="C109">GetValue("Eng","Name",B109)</f>
        <v>MariaDB</v>
      </c>
      <c r="D109">
        <v>32</v>
      </c>
      <c r="E109" t="str" cm="1">
        <f t="array" ref="E109">GetValue("Typ","Name",D109)</f>
        <v>uniqueidentifier</v>
      </c>
      <c r="F109" t="str">
        <v>CHAR</v>
      </c>
      <c r="G109">
        <v>36</v>
      </c>
    </row>
    <row r="110">
      <c r="A110">
        <f>ROW(A110)-1</f>
        <v>109</v>
      </c>
      <c r="B110">
        <v>3</v>
      </c>
      <c r="C110" t="str" cm="1">
        <f t="array" ref="C110">GetValue("Eng","Name",B110)</f>
        <v>MariaDB</v>
      </c>
      <c r="D110">
        <v>33</v>
      </c>
      <c r="E110" t="str" cm="1">
        <f t="array" ref="E110">GetValue("Typ","Name",D110)</f>
        <v>varbinary(n)</v>
      </c>
      <c r="F110" t="str">
        <v>VARBINARY</v>
      </c>
    </row>
    <row r="111">
      <c r="A111">
        <f>ROW(A111)-1</f>
        <v>110</v>
      </c>
      <c r="B111">
        <v>3</v>
      </c>
      <c r="C111" t="str" cm="1">
        <f t="array" ref="C111">GetValue("Eng","Name",B111)</f>
        <v>MariaDB</v>
      </c>
      <c r="D111">
        <v>34</v>
      </c>
      <c r="E111" t="str" cm="1">
        <f t="array" ref="E111">GetValue("Typ","Name",D111)</f>
        <v>varbinary(max)</v>
      </c>
      <c r="F111" t="str">
        <v>LONGBLOB</v>
      </c>
    </row>
    <row r="112">
      <c r="A112">
        <f>ROW(A112)-1</f>
        <v>111</v>
      </c>
      <c r="B112">
        <v>3</v>
      </c>
      <c r="C112" t="str" cm="1">
        <f t="array" ref="C112">GetValue("Eng","Name",B112)</f>
        <v>MariaDB</v>
      </c>
      <c r="D112">
        <v>35</v>
      </c>
      <c r="E112" t="str" cm="1">
        <f t="array" ref="E112">GetValue("Typ","Name",D112)</f>
        <v>varchar(n)</v>
      </c>
      <c r="F112" t="str">
        <v>VARCHAR</v>
      </c>
    </row>
    <row r="113">
      <c r="A113">
        <f>ROW(A113)-1</f>
        <v>112</v>
      </c>
      <c r="B113">
        <v>3</v>
      </c>
      <c r="C113" t="str" cm="1">
        <f t="array" ref="C113">GetValue("Eng","Name",B113)</f>
        <v>MariaDB</v>
      </c>
      <c r="D113">
        <v>36</v>
      </c>
      <c r="E113" t="str" cm="1">
        <f t="array" ref="E113">GetValue("Typ","Name",D113)</f>
        <v>varchar(max)</v>
      </c>
      <c r="F113" t="str">
        <v>LONGTEXT</v>
      </c>
    </row>
    <row r="114">
      <c r="A114">
        <f>ROW(A114)-1</f>
        <v>113</v>
      </c>
      <c r="B114">
        <v>3</v>
      </c>
      <c r="C114" t="str" cm="1">
        <f t="array" ref="C114">GetValue("Eng","Name",B114)</f>
        <v>MariaDB</v>
      </c>
      <c r="D114">
        <v>37</v>
      </c>
      <c r="E114" t="str" cm="1">
        <f t="array" ref="E114">GetValue("Typ","Name",D114)</f>
        <v>xml</v>
      </c>
      <c r="F114" t="str">
        <v>LONGTEXT</v>
      </c>
    </row>
    <row r="115">
      <c r="A115">
        <f>ROW(A115)-1</f>
        <v>114</v>
      </c>
      <c r="B115">
        <v>3</v>
      </c>
      <c r="C115" t="str" cm="1">
        <f t="array" ref="C115">GetValue("Eng","Name",B115)</f>
        <v>MariaDB</v>
      </c>
      <c r="D115">
        <v>38</v>
      </c>
      <c r="E115" t="str" cm="1">
        <f t="array" ref="E115">GetValue("Typ","Name",D115)</f>
        <v>json</v>
      </c>
      <c r="F115" t="str">
        <v>JSON</v>
      </c>
    </row>
    <row r="116">
      <c r="A116">
        <f>ROW(A116)-1</f>
        <v>115</v>
      </c>
      <c r="B116">
        <v>4</v>
      </c>
      <c r="C116" t="str" cm="1">
        <f t="array" ref="C116">GetValue("Eng","Name",B116)</f>
        <v>PostgreSQL</v>
      </c>
      <c r="D116">
        <v>1</v>
      </c>
      <c r="E116" t="str" cm="1">
        <f t="array" ref="E116">GetValue("Typ","Name",D116)</f>
        <v>bigint (8 bytes)</v>
      </c>
      <c r="F116" t="str">
        <v>BIGINT</v>
      </c>
    </row>
    <row r="117">
      <c r="A117">
        <f>ROW(A117)-1</f>
        <v>116</v>
      </c>
      <c r="B117">
        <v>4</v>
      </c>
      <c r="C117" t="str" cm="1">
        <f t="array" ref="C117">GetValue("Eng","Name",B117)</f>
        <v>PostgreSQL</v>
      </c>
      <c r="D117">
        <v>2</v>
      </c>
      <c r="E117" t="str" cm="1">
        <f t="array" ref="E117">GetValue("Typ","Name",D117)</f>
        <v>binary</v>
      </c>
      <c r="F117" t="str">
        <v>BYTEA</v>
      </c>
    </row>
    <row r="118">
      <c r="A118">
        <f>ROW(A118)-1</f>
        <v>117</v>
      </c>
      <c r="B118">
        <v>4</v>
      </c>
      <c r="C118" t="str" cm="1">
        <f t="array" ref="C118">GetValue("Eng","Name",B118)</f>
        <v>PostgreSQL</v>
      </c>
      <c r="D118">
        <v>3</v>
      </c>
      <c r="E118" t="str" cm="1">
        <f t="array" ref="E118">GetValue("Typ","Name",D118)</f>
        <v>bit (1 bit)</v>
      </c>
      <c r="F118" t="str">
        <v>BOOLEAN</v>
      </c>
    </row>
    <row r="119">
      <c r="A119">
        <f>ROW(A119)-1</f>
        <v>118</v>
      </c>
      <c r="B119">
        <v>4</v>
      </c>
      <c r="C119" t="str" cm="1">
        <f t="array" ref="C119">GetValue("Eng","Name",B119)</f>
        <v>PostgreSQL</v>
      </c>
      <c r="D119">
        <v>4</v>
      </c>
      <c r="E119" t="str" cm="1">
        <f t="array" ref="E119">GetValue("Typ","Name",D119)</f>
        <v>char(n)</v>
      </c>
      <c r="F119" t="str">
        <v>CHAR</v>
      </c>
    </row>
    <row r="120">
      <c r="A120">
        <f>ROW(A120)-1</f>
        <v>119</v>
      </c>
      <c r="B120">
        <v>4</v>
      </c>
      <c r="C120" t="str" cm="1">
        <f t="array" ref="C120">GetValue("Eng","Name",B120)</f>
        <v>PostgreSQL</v>
      </c>
      <c r="D120">
        <v>5</v>
      </c>
      <c r="E120" t="str" cm="1">
        <f t="array" ref="E120">GetValue("Typ","Name",D120)</f>
        <v>date</v>
      </c>
      <c r="F120" t="str">
        <v>DATE</v>
      </c>
    </row>
    <row r="121">
      <c r="A121">
        <f>ROW(A121)-1</f>
        <v>120</v>
      </c>
      <c r="B121">
        <v>4</v>
      </c>
      <c r="C121" t="str" cm="1">
        <f t="array" ref="C121">GetValue("Eng","Name",B121)</f>
        <v>PostgreSQL</v>
      </c>
      <c r="D121">
        <v>6</v>
      </c>
      <c r="E121" t="str" cm="1">
        <f t="array" ref="E121">GetValue("Typ","Name",D121)</f>
        <v>datetime</v>
      </c>
      <c r="F121" t="str">
        <v>TIMESTAMP</v>
      </c>
    </row>
    <row r="122">
      <c r="A122">
        <f>ROW(A122)-1</f>
        <v>121</v>
      </c>
      <c r="B122">
        <v>4</v>
      </c>
      <c r="C122" t="str" cm="1">
        <f t="array" ref="C122">GetValue("Eng","Name",B122)</f>
        <v>PostgreSQL</v>
      </c>
      <c r="D122">
        <v>7</v>
      </c>
      <c r="E122" t="str" cm="1">
        <f t="array" ref="E122">GetValue("Typ","Name",D122)</f>
        <v>datetime2(s)</v>
      </c>
      <c r="F122" t="str">
        <v>TIMESTAMP</v>
      </c>
      <c r="G122">
        <v>6</v>
      </c>
    </row>
    <row r="123">
      <c r="A123">
        <f>ROW(A123)-1</f>
        <v>122</v>
      </c>
      <c r="B123">
        <v>4</v>
      </c>
      <c r="C123" t="str" cm="1">
        <f t="array" ref="C123">GetValue("Eng","Name",B123)</f>
        <v>PostgreSQL</v>
      </c>
      <c r="D123">
        <v>8</v>
      </c>
      <c r="E123" t="str" cm="1">
        <f t="array" ref="E123">GetValue("Typ","Name",D123)</f>
        <v>datetimeoffset(s)</v>
      </c>
      <c r="F123" t="str">
        <v>TIMESTAMP WITH TIME ZONE</v>
      </c>
    </row>
    <row r="124">
      <c r="A124">
        <f>ROW(A124)-1</f>
        <v>123</v>
      </c>
      <c r="B124">
        <v>4</v>
      </c>
      <c r="C124" t="str" cm="1">
        <f t="array" ref="C124">GetValue("Eng","Name",B124)</f>
        <v>PostgreSQL</v>
      </c>
      <c r="D124">
        <v>9</v>
      </c>
      <c r="E124" t="str" cm="1">
        <f t="array" ref="E124">GetValue("Typ","Name",D124)</f>
        <v>decimal(p ,s)</v>
      </c>
      <c r="F124" t="str">
        <v>NUMERIC</v>
      </c>
    </row>
    <row r="125">
      <c r="A125">
        <f>ROW(A125)-1</f>
        <v>124</v>
      </c>
      <c r="B125">
        <v>4</v>
      </c>
      <c r="C125" t="str" cm="1">
        <f t="array" ref="C125">GetValue("Eng","Name",B125)</f>
        <v>PostgreSQL</v>
      </c>
      <c r="D125">
        <v>10</v>
      </c>
      <c r="E125" t="str" cm="1">
        <f t="array" ref="E125">GetValue("Typ","Name",D125)</f>
        <v>float(n)</v>
      </c>
      <c r="F125" t="str">
        <v>DOUBLE PRECISION</v>
      </c>
    </row>
    <row r="126">
      <c r="A126">
        <f>ROW(A126)-1</f>
        <v>125</v>
      </c>
      <c r="B126">
        <v>4</v>
      </c>
      <c r="C126" t="str" cm="1">
        <f t="array" ref="C126">GetValue("Eng","Name",B126)</f>
        <v>PostgreSQL</v>
      </c>
      <c r="D126">
        <v>11</v>
      </c>
      <c r="E126" t="str" cm="1">
        <f t="array" ref="E126">GetValue("Typ","Name",D126)</f>
        <v>geography</v>
      </c>
      <c r="F126" t="str">
        <v>GEOGRAPHY</v>
      </c>
    </row>
    <row r="127">
      <c r="A127">
        <f>ROW(A127)-1</f>
        <v>126</v>
      </c>
      <c r="B127">
        <v>4</v>
      </c>
      <c r="C127" t="str" cm="1">
        <f t="array" ref="C127">GetValue("Eng","Name",B127)</f>
        <v>PostgreSQL</v>
      </c>
      <c r="D127">
        <v>12</v>
      </c>
      <c r="E127" t="str" cm="1">
        <f t="array" ref="E127">GetValue("Typ","Name",D127)</f>
        <v>geometry</v>
      </c>
      <c r="F127" t="str">
        <v>GEOMETRY</v>
      </c>
    </row>
    <row r="128">
      <c r="A128">
        <f>ROW(A128)-1</f>
        <v>127</v>
      </c>
      <c r="B128">
        <v>4</v>
      </c>
      <c r="C128" t="str" cm="1">
        <f t="array" ref="C128">GetValue("Eng","Name",B128)</f>
        <v>PostgreSQL</v>
      </c>
      <c r="D128">
        <v>13</v>
      </c>
      <c r="E128" t="str" cm="1">
        <f t="array" ref="E128">GetValue("Typ","Name",D128)</f>
        <v>hierarchyid</v>
      </c>
    </row>
    <row r="129">
      <c r="A129">
        <f>ROW(A129)-1</f>
        <v>128</v>
      </c>
      <c r="B129">
        <v>4</v>
      </c>
      <c r="C129" t="str" cm="1">
        <f t="array" ref="C129">GetValue("Eng","Name",B129)</f>
        <v>PostgreSQL</v>
      </c>
      <c r="D129">
        <v>14</v>
      </c>
      <c r="E129" t="str" cm="1">
        <f t="array" ref="E129">GetValue("Typ","Name",D129)</f>
        <v>image</v>
      </c>
      <c r="F129" t="str">
        <v>BYTEA</v>
      </c>
    </row>
    <row r="130">
      <c r="A130">
        <f>ROW(A130)-1</f>
        <v>129</v>
      </c>
      <c r="B130">
        <v>4</v>
      </c>
      <c r="C130" t="str" cm="1">
        <f t="array" ref="C130">GetValue("Eng","Name",B130)</f>
        <v>PostgreSQL</v>
      </c>
      <c r="D130">
        <v>15</v>
      </c>
      <c r="E130" t="str" cm="1">
        <f t="array" ref="E130">GetValue("Typ","Name",D130)</f>
        <v>int (4 bytes)</v>
      </c>
      <c r="F130" t="str">
        <v>INTEGER</v>
      </c>
    </row>
    <row r="131">
      <c r="A131">
        <f>ROW(A131)-1</f>
        <v>130</v>
      </c>
      <c r="B131">
        <v>4</v>
      </c>
      <c r="C131" t="str" cm="1">
        <f t="array" ref="C131">GetValue("Eng","Name",B131)</f>
        <v>PostgreSQL</v>
      </c>
      <c r="D131">
        <v>16</v>
      </c>
      <c r="E131" t="str" cm="1">
        <f t="array" ref="E131">GetValue("Typ","Name",D131)</f>
        <v>money</v>
      </c>
      <c r="F131" t="str">
        <v>NUMERIC</v>
      </c>
      <c r="G131">
        <v>19</v>
      </c>
      <c r="H131">
        <v>4</v>
      </c>
    </row>
    <row r="132">
      <c r="A132">
        <f>ROW(A132)-1</f>
        <v>131</v>
      </c>
      <c r="B132">
        <v>4</v>
      </c>
      <c r="C132" t="str" cm="1">
        <f t="array" ref="C132">GetValue("Eng","Name",B132)</f>
        <v>PostgreSQL</v>
      </c>
      <c r="D132">
        <v>17</v>
      </c>
      <c r="E132" t="str" cm="1">
        <f t="array" ref="E132">GetValue("Typ","Name",D132)</f>
        <v>nchar(n)</v>
      </c>
      <c r="F132" t="str">
        <v>CHAR</v>
      </c>
    </row>
    <row r="133">
      <c r="A133">
        <f>ROW(A133)-1</f>
        <v>132</v>
      </c>
      <c r="B133">
        <v>4</v>
      </c>
      <c r="C133" t="str" cm="1">
        <f t="array" ref="C133">GetValue("Eng","Name",B133)</f>
        <v>PostgreSQL</v>
      </c>
      <c r="D133">
        <v>18</v>
      </c>
      <c r="E133" t="str" cm="1">
        <f t="array" ref="E133">GetValue("Typ","Name",D133)</f>
        <v>ntext</v>
      </c>
      <c r="F133" t="str">
        <v>TEXT</v>
      </c>
    </row>
    <row r="134">
      <c r="A134">
        <f>ROW(A134)-1</f>
        <v>133</v>
      </c>
      <c r="B134">
        <v>4</v>
      </c>
      <c r="C134" t="str" cm="1">
        <f t="array" ref="C134">GetValue("Eng","Name",B134)</f>
        <v>PostgreSQL</v>
      </c>
      <c r="D134">
        <v>19</v>
      </c>
      <c r="E134" t="str" cm="1">
        <f t="array" ref="E134">GetValue("Typ","Name",D134)</f>
        <v>numeric(p,s)</v>
      </c>
      <c r="F134" t="str">
        <v>NUMERIC</v>
      </c>
    </row>
    <row r="135">
      <c r="A135">
        <f>ROW(A135)-1</f>
        <v>134</v>
      </c>
      <c r="B135">
        <v>4</v>
      </c>
      <c r="C135" t="str" cm="1">
        <f t="array" ref="C135">GetValue("Eng","Name",B135)</f>
        <v>PostgreSQL</v>
      </c>
      <c r="D135">
        <v>20</v>
      </c>
      <c r="E135" t="str" cm="1">
        <f t="array" ref="E135">GetValue("Typ","Name",D135)</f>
        <v>nvarchar(n)</v>
      </c>
      <c r="F135" t="str">
        <v>VARCHAR</v>
      </c>
    </row>
    <row r="136">
      <c r="A136">
        <f>ROW(A136)-1</f>
        <v>135</v>
      </c>
      <c r="B136">
        <v>4</v>
      </c>
      <c r="C136" t="str" cm="1">
        <f t="array" ref="C136">GetValue("Eng","Name",B136)</f>
        <v>PostgreSQL</v>
      </c>
      <c r="D136">
        <v>21</v>
      </c>
      <c r="E136" t="str" cm="1">
        <f t="array" ref="E136">GetValue("Typ","Name",D136)</f>
        <v>nvarchar(max)</v>
      </c>
      <c r="F136" t="str">
        <v>TEXT</v>
      </c>
    </row>
    <row r="137">
      <c r="A137">
        <f>ROW(A137)-1</f>
        <v>136</v>
      </c>
      <c r="B137">
        <v>4</v>
      </c>
      <c r="C137" t="str" cm="1">
        <f t="array" ref="C137">GetValue("Eng","Name",B137)</f>
        <v>PostgreSQL</v>
      </c>
      <c r="D137">
        <v>22</v>
      </c>
      <c r="E137" t="str" cm="1">
        <f t="array" ref="E137">GetValue("Typ","Name",D137)</f>
        <v>real</v>
      </c>
      <c r="F137" t="str">
        <v>REAL</v>
      </c>
    </row>
    <row r="138">
      <c r="A138">
        <f>ROW(A138)-1</f>
        <v>137</v>
      </c>
      <c r="B138">
        <v>4</v>
      </c>
      <c r="C138" t="str" cm="1">
        <f t="array" ref="C138">GetValue("Eng","Name",B138)</f>
        <v>PostgreSQL</v>
      </c>
      <c r="D138">
        <v>23</v>
      </c>
      <c r="E138" t="str" cm="1">
        <f t="array" ref="E138">GetValue("Typ","Name",D138)</f>
        <v>smalldatetime</v>
      </c>
      <c r="F138" t="str">
        <v>TIMESTAMP</v>
      </c>
      <c r="G138">
        <v>0</v>
      </c>
    </row>
    <row r="139">
      <c r="A139">
        <f>ROW(A139)-1</f>
        <v>138</v>
      </c>
      <c r="B139">
        <v>4</v>
      </c>
      <c r="C139" t="str" cm="1">
        <f t="array" ref="C139">GetValue("Eng","Name",B139)</f>
        <v>PostgreSQL</v>
      </c>
      <c r="D139">
        <v>24</v>
      </c>
      <c r="E139" t="str" cm="1">
        <f t="array" ref="E139">GetValue("Typ","Name",D139)</f>
        <v>smallint (2 bytes)</v>
      </c>
      <c r="F139" t="str">
        <v>SMALLINT</v>
      </c>
    </row>
    <row r="140">
      <c r="A140">
        <f>ROW(A140)-1</f>
        <v>139</v>
      </c>
      <c r="B140">
        <v>4</v>
      </c>
      <c r="C140" t="str" cm="1">
        <f t="array" ref="C140">GetValue("Eng","Name",B140)</f>
        <v>PostgreSQL</v>
      </c>
      <c r="D140">
        <v>25</v>
      </c>
      <c r="E140" t="str" cm="1">
        <f t="array" ref="E140">GetValue("Typ","Name",D140)</f>
        <v>smallmoney</v>
      </c>
      <c r="F140" t="str">
        <v>NUMERIC</v>
      </c>
      <c r="G140">
        <v>10</v>
      </c>
      <c r="H140">
        <v>4</v>
      </c>
    </row>
    <row r="141">
      <c r="A141">
        <f>ROW(A141)-1</f>
        <v>140</v>
      </c>
      <c r="B141">
        <v>4</v>
      </c>
      <c r="C141" t="str" cm="1">
        <f t="array" ref="C141">GetValue("Eng","Name",B141)</f>
        <v>PostgreSQL</v>
      </c>
      <c r="D141">
        <v>26</v>
      </c>
      <c r="E141" t="str" cm="1">
        <f t="array" ref="E141">GetValue("Typ","Name",D141)</f>
        <v>sql_variant</v>
      </c>
      <c r="F141" t="str">
        <v>JSONB</v>
      </c>
    </row>
    <row r="142">
      <c r="A142">
        <f>ROW(A142)-1</f>
        <v>141</v>
      </c>
      <c r="B142">
        <v>4</v>
      </c>
      <c r="C142" t="str" cm="1">
        <f t="array" ref="C142">GetValue("Eng","Name",B142)</f>
        <v>PostgreSQL</v>
      </c>
      <c r="D142">
        <v>27</v>
      </c>
      <c r="E142" t="str" cm="1">
        <f t="array" ref="E142">GetValue("Typ","Name",D142)</f>
        <v>sysname</v>
      </c>
      <c r="F142" t="str">
        <v>NAME</v>
      </c>
    </row>
    <row r="143">
      <c r="A143">
        <f>ROW(A143)-1</f>
        <v>142</v>
      </c>
      <c r="B143">
        <v>4</v>
      </c>
      <c r="C143" t="str" cm="1">
        <f t="array" ref="C143">GetValue("Eng","Name",B143)</f>
        <v>PostgreSQL</v>
      </c>
      <c r="D143">
        <v>28</v>
      </c>
      <c r="E143" t="str" cm="1">
        <f t="array" ref="E143">GetValue("Typ","Name",D143)</f>
        <v>text</v>
      </c>
      <c r="F143" t="str">
        <v>TEXT</v>
      </c>
    </row>
    <row r="144">
      <c r="A144">
        <f>ROW(A144)-1</f>
        <v>143</v>
      </c>
      <c r="B144">
        <v>4</v>
      </c>
      <c r="C144" t="str" cm="1">
        <f t="array" ref="C144">GetValue("Eng","Name",B144)</f>
        <v>PostgreSQL</v>
      </c>
      <c r="D144">
        <v>29</v>
      </c>
      <c r="E144" t="str" cm="1">
        <f t="array" ref="E144">GetValue("Typ","Name",D144)</f>
        <v>time(s)</v>
      </c>
      <c r="F144" t="str">
        <v>TIME</v>
      </c>
    </row>
    <row r="145">
      <c r="A145">
        <f>ROW(A145)-1</f>
        <v>144</v>
      </c>
      <c r="B145">
        <v>4</v>
      </c>
      <c r="C145" t="str" cm="1">
        <f t="array" ref="C145">GetValue("Eng","Name",B145)</f>
        <v>PostgreSQL</v>
      </c>
      <c r="D145">
        <v>30</v>
      </c>
      <c r="E145" t="str" cm="1">
        <f t="array" ref="E145">GetValue("Typ","Name",D145)</f>
        <v>timestamp</v>
      </c>
      <c r="F145" t="str">
        <v>TIMESTAMP</v>
      </c>
    </row>
    <row r="146">
      <c r="A146">
        <f>ROW(A146)-1</f>
        <v>145</v>
      </c>
      <c r="B146">
        <v>4</v>
      </c>
      <c r="C146" t="str" cm="1">
        <f t="array" ref="C146">GetValue("Eng","Name",B146)</f>
        <v>PostgreSQL</v>
      </c>
      <c r="D146">
        <v>31</v>
      </c>
      <c r="E146" t="str" cm="1">
        <f t="array" ref="E146">GetValue("Typ","Name",D146)</f>
        <v>tinyint (1 byte)</v>
      </c>
      <c r="F146" t="str">
        <v>SMALLINT</v>
      </c>
    </row>
    <row r="147">
      <c r="A147">
        <f>ROW(A147)-1</f>
        <v>146</v>
      </c>
      <c r="B147">
        <v>4</v>
      </c>
      <c r="C147" t="str" cm="1">
        <f t="array" ref="C147">GetValue("Eng","Name",B147)</f>
        <v>PostgreSQL</v>
      </c>
      <c r="D147">
        <v>32</v>
      </c>
      <c r="E147" t="str" cm="1">
        <f t="array" ref="E147">GetValue("Typ","Name",D147)</f>
        <v>uniqueidentifier</v>
      </c>
      <c r="F147" t="str">
        <v>UUID</v>
      </c>
    </row>
    <row r="148">
      <c r="A148">
        <f>ROW(A148)-1</f>
        <v>147</v>
      </c>
      <c r="B148">
        <v>4</v>
      </c>
      <c r="C148" t="str" cm="1">
        <f t="array" ref="C148">GetValue("Eng","Name",B148)</f>
        <v>PostgreSQL</v>
      </c>
      <c r="D148">
        <v>33</v>
      </c>
      <c r="E148" t="str" cm="1">
        <f t="array" ref="E148">GetValue("Typ","Name",D148)</f>
        <v>varbinary(n)</v>
      </c>
      <c r="F148" t="str">
        <v>BYTEA</v>
      </c>
    </row>
    <row r="149">
      <c r="A149">
        <f>ROW(A149)-1</f>
        <v>148</v>
      </c>
      <c r="B149">
        <v>4</v>
      </c>
      <c r="C149" t="str" cm="1">
        <f t="array" ref="C149">GetValue("Eng","Name",B149)</f>
        <v>PostgreSQL</v>
      </c>
      <c r="D149">
        <v>34</v>
      </c>
      <c r="E149" t="str" cm="1">
        <f t="array" ref="E149">GetValue("Typ","Name",D149)</f>
        <v>varbinary(max)</v>
      </c>
      <c r="F149" t="str">
        <v>BYTEA</v>
      </c>
    </row>
    <row r="150">
      <c r="A150">
        <f>ROW(A150)-1</f>
        <v>149</v>
      </c>
      <c r="B150">
        <v>4</v>
      </c>
      <c r="C150" t="str" cm="1">
        <f t="array" ref="C150">GetValue("Eng","Name",B150)</f>
        <v>PostgreSQL</v>
      </c>
      <c r="D150">
        <v>35</v>
      </c>
      <c r="E150" t="str" cm="1">
        <f t="array" ref="E150">GetValue("Typ","Name",D150)</f>
        <v>varchar(n)</v>
      </c>
      <c r="F150" t="str">
        <v>VARCHAR</v>
      </c>
    </row>
    <row r="151">
      <c r="A151">
        <f>ROW(A151)-1</f>
        <v>150</v>
      </c>
      <c r="B151">
        <v>4</v>
      </c>
      <c r="C151" t="str" cm="1">
        <f t="array" ref="C151">GetValue("Eng","Name",B151)</f>
        <v>PostgreSQL</v>
      </c>
      <c r="D151">
        <v>36</v>
      </c>
      <c r="E151" t="str" cm="1">
        <f t="array" ref="E151">GetValue("Typ","Name",D151)</f>
        <v>varchar(max)</v>
      </c>
      <c r="F151" t="str">
        <v>TEXT</v>
      </c>
    </row>
    <row r="152">
      <c r="A152">
        <f>ROW(A152)-1</f>
        <v>151</v>
      </c>
      <c r="B152">
        <v>4</v>
      </c>
      <c r="C152" t="str" cm="1">
        <f t="array" ref="C152">GetValue("Eng","Name",B152)</f>
        <v>PostgreSQL</v>
      </c>
      <c r="D152">
        <v>37</v>
      </c>
      <c r="E152" t="str" cm="1">
        <f t="array" ref="E152">GetValue("Typ","Name",D152)</f>
        <v>xml</v>
      </c>
      <c r="F152" t="str">
        <v>XML</v>
      </c>
    </row>
    <row r="153">
      <c r="A153">
        <f>ROW(A153)-1</f>
        <v>152</v>
      </c>
      <c r="B153">
        <v>4</v>
      </c>
      <c r="C153" t="str" cm="1">
        <f t="array" ref="C153">GetValue("Eng","Name",B153)</f>
        <v>PostgreSQL</v>
      </c>
      <c r="D153">
        <v>38</v>
      </c>
      <c r="E153" t="str" cm="1">
        <f t="array" ref="E153">GetValue("Typ","Name",D153)</f>
        <v>json</v>
      </c>
      <c r="F153" t="str">
        <v>JSONB</v>
      </c>
    </row>
    <row r="154">
      <c r="A154">
        <f>ROW(A154)-1</f>
        <v>153</v>
      </c>
      <c r="B154">
        <v>5</v>
      </c>
      <c r="C154" t="str" cm="1">
        <f t="array" ref="C154">GetValue("Eng","Name",B154)</f>
        <v>Firebird</v>
      </c>
      <c r="D154">
        <v>1</v>
      </c>
      <c r="E154" t="str" cm="1">
        <f t="array" ref="E154">GetValue("Typ","Name",D154)</f>
        <v>bigint (8 bytes)</v>
      </c>
      <c r="F154" t="str">
        <v>BIGINT</v>
      </c>
    </row>
    <row r="155">
      <c r="A155">
        <f>ROW(A155)-1</f>
        <v>154</v>
      </c>
      <c r="B155">
        <v>5</v>
      </c>
      <c r="C155" t="str" cm="1">
        <f t="array" ref="C155">GetValue("Eng","Name",B155)</f>
        <v>Firebird</v>
      </c>
      <c r="D155">
        <v>2</v>
      </c>
      <c r="E155" t="str" cm="1">
        <f t="array" ref="E155">GetValue("Typ","Name",D155)</f>
        <v>binary</v>
      </c>
      <c r="F155" t="str">
        <v>BINARY</v>
      </c>
    </row>
    <row r="156">
      <c r="A156">
        <f>ROW(A156)-1</f>
        <v>155</v>
      </c>
      <c r="B156">
        <v>5</v>
      </c>
      <c r="C156" t="str" cm="1">
        <f t="array" ref="C156">GetValue("Eng","Name",B156)</f>
        <v>Firebird</v>
      </c>
      <c r="D156">
        <v>3</v>
      </c>
      <c r="E156" t="str" cm="1">
        <f t="array" ref="E156">GetValue("Typ","Name",D156)</f>
        <v>bit (1 bit)</v>
      </c>
      <c r="F156" t="str">
        <v>SMALLINT</v>
      </c>
    </row>
    <row r="157">
      <c r="A157">
        <f>ROW(A157)-1</f>
        <v>156</v>
      </c>
      <c r="B157">
        <v>5</v>
      </c>
      <c r="C157" t="str" cm="1">
        <f t="array" ref="C157">GetValue("Eng","Name",B157)</f>
        <v>Firebird</v>
      </c>
      <c r="D157">
        <v>4</v>
      </c>
      <c r="E157" t="str" cm="1">
        <f t="array" ref="E157">GetValue("Typ","Name",D157)</f>
        <v>char(n)</v>
      </c>
      <c r="F157" t="str">
        <v>CHAR</v>
      </c>
    </row>
    <row r="158">
      <c r="A158">
        <f>ROW(A158)-1</f>
        <v>157</v>
      </c>
      <c r="B158">
        <v>5</v>
      </c>
      <c r="C158" t="str" cm="1">
        <f t="array" ref="C158">GetValue("Eng","Name",B158)</f>
        <v>Firebird</v>
      </c>
      <c r="D158">
        <v>5</v>
      </c>
      <c r="E158" t="str" cm="1">
        <f t="array" ref="E158">GetValue("Typ","Name",D158)</f>
        <v>date</v>
      </c>
      <c r="F158" t="str">
        <v>DATE</v>
      </c>
    </row>
    <row r="159">
      <c r="A159">
        <f>ROW(A159)-1</f>
        <v>158</v>
      </c>
      <c r="B159">
        <v>5</v>
      </c>
      <c r="C159" t="str" cm="1">
        <f t="array" ref="C159">GetValue("Eng","Name",B159)</f>
        <v>Firebird</v>
      </c>
      <c r="D159">
        <v>6</v>
      </c>
      <c r="E159" t="str" cm="1">
        <f t="array" ref="E159">GetValue("Typ","Name",D159)</f>
        <v>datetime</v>
      </c>
      <c r="F159" t="str">
        <v>TIMESTAMP</v>
      </c>
    </row>
    <row r="160">
      <c r="A160">
        <f>ROW(A160)-1</f>
        <v>159</v>
      </c>
      <c r="B160">
        <v>5</v>
      </c>
      <c r="C160" t="str" cm="1">
        <f t="array" ref="C160">GetValue("Eng","Name",B160)</f>
        <v>Firebird</v>
      </c>
      <c r="D160">
        <v>7</v>
      </c>
      <c r="E160" t="str" cm="1">
        <f t="array" ref="E160">GetValue("Typ","Name",D160)</f>
        <v>datetime2(s)</v>
      </c>
      <c r="F160" t="str">
        <v>TIMESTAMP</v>
      </c>
    </row>
    <row r="161">
      <c r="A161">
        <f>ROW(A161)-1</f>
        <v>160</v>
      </c>
      <c r="B161">
        <v>5</v>
      </c>
      <c r="C161" t="str" cm="1">
        <f t="array" ref="C161">GetValue("Eng","Name",B161)</f>
        <v>Firebird</v>
      </c>
      <c r="D161">
        <v>8</v>
      </c>
      <c r="E161" t="str" cm="1">
        <f t="array" ref="E161">GetValue("Typ","Name",D161)</f>
        <v>datetimeoffset(s)</v>
      </c>
      <c r="F161" t="str">
        <v>TIMESTAMP WITH TIME ZONE</v>
      </c>
    </row>
    <row r="162">
      <c r="A162">
        <f>ROW(A162)-1</f>
        <v>161</v>
      </c>
      <c r="B162">
        <v>5</v>
      </c>
      <c r="C162" t="str" cm="1">
        <f t="array" ref="C162">GetValue("Eng","Name",B162)</f>
        <v>Firebird</v>
      </c>
      <c r="D162">
        <v>9</v>
      </c>
      <c r="E162" t="str" cm="1">
        <f t="array" ref="E162">GetValue("Typ","Name",D162)</f>
        <v>decimal(p ,s)</v>
      </c>
      <c r="F162" t="str">
        <v>DECIMAL</v>
      </c>
    </row>
    <row r="163">
      <c r="A163">
        <f>ROW(A163)-1</f>
        <v>162</v>
      </c>
      <c r="B163">
        <v>5</v>
      </c>
      <c r="C163" t="str" cm="1">
        <f t="array" ref="C163">GetValue("Eng","Name",B163)</f>
        <v>Firebird</v>
      </c>
      <c r="D163">
        <v>10</v>
      </c>
      <c r="E163" t="str" cm="1">
        <f t="array" ref="E163">GetValue("Typ","Name",D163)</f>
        <v>float(n)</v>
      </c>
      <c r="F163" t="str">
        <v>DOUBLE PRECISION</v>
      </c>
    </row>
    <row r="164">
      <c r="A164">
        <f>ROW(A164)-1</f>
        <v>163</v>
      </c>
      <c r="B164">
        <v>5</v>
      </c>
      <c r="C164" t="str" cm="1">
        <f t="array" ref="C164">GetValue("Eng","Name",B164)</f>
        <v>Firebird</v>
      </c>
      <c r="D164">
        <v>11</v>
      </c>
      <c r="E164" t="str" cm="1">
        <f t="array" ref="E164">GetValue("Typ","Name",D164)</f>
        <v>geography</v>
      </c>
    </row>
    <row r="165">
      <c r="A165">
        <f>ROW(A165)-1</f>
        <v>164</v>
      </c>
      <c r="B165">
        <v>5</v>
      </c>
      <c r="C165" t="str" cm="1">
        <f t="array" ref="C165">GetValue("Eng","Name",B165)</f>
        <v>Firebird</v>
      </c>
      <c r="D165">
        <v>12</v>
      </c>
      <c r="E165" t="str" cm="1">
        <f t="array" ref="E165">GetValue("Typ","Name",D165)</f>
        <v>geometry</v>
      </c>
    </row>
    <row r="166">
      <c r="A166">
        <f>ROW(A166)-1</f>
        <v>165</v>
      </c>
      <c r="B166">
        <v>5</v>
      </c>
      <c r="C166" t="str" cm="1">
        <f t="array" ref="C166">GetValue("Eng","Name",B166)</f>
        <v>Firebird</v>
      </c>
      <c r="D166">
        <v>13</v>
      </c>
      <c r="E166" t="str" cm="1">
        <f t="array" ref="E166">GetValue("Typ","Name",D166)</f>
        <v>hierarchyid</v>
      </c>
    </row>
    <row r="167">
      <c r="A167">
        <f>ROW(A167)-1</f>
        <v>166</v>
      </c>
      <c r="B167">
        <v>5</v>
      </c>
      <c r="C167" t="str" cm="1">
        <f t="array" ref="C167">GetValue("Eng","Name",B167)</f>
        <v>Firebird</v>
      </c>
      <c r="D167">
        <v>14</v>
      </c>
      <c r="E167" t="str" cm="1">
        <f t="array" ref="E167">GetValue("Typ","Name",D167)</f>
        <v>image</v>
      </c>
      <c r="F167" t="str">
        <v>BLOB SUB_TYPE 0</v>
      </c>
    </row>
    <row r="168">
      <c r="A168">
        <f>ROW(A168)-1</f>
        <v>167</v>
      </c>
      <c r="B168">
        <v>5</v>
      </c>
      <c r="C168" t="str" cm="1">
        <f t="array" ref="C168">GetValue("Eng","Name",B168)</f>
        <v>Firebird</v>
      </c>
      <c r="D168">
        <v>15</v>
      </c>
      <c r="E168" t="str" cm="1">
        <f t="array" ref="E168">GetValue("Typ","Name",D168)</f>
        <v>int (4 bytes)</v>
      </c>
      <c r="F168" t="str">
        <v>INTEGER</v>
      </c>
    </row>
    <row r="169">
      <c r="A169">
        <f>ROW(A169)-1</f>
        <v>168</v>
      </c>
      <c r="B169">
        <v>5</v>
      </c>
      <c r="C169" t="str" cm="1">
        <f t="array" ref="C169">GetValue("Eng","Name",B169)</f>
        <v>Firebird</v>
      </c>
      <c r="D169">
        <v>16</v>
      </c>
      <c r="E169" t="str" cm="1">
        <f t="array" ref="E169">GetValue("Typ","Name",D169)</f>
        <v>money</v>
      </c>
      <c r="F169" t="str">
        <v>DECIMAL</v>
      </c>
      <c r="G169">
        <v>19</v>
      </c>
      <c r="H169">
        <v>4</v>
      </c>
    </row>
    <row r="170">
      <c r="A170">
        <f>ROW(A170)-1</f>
        <v>169</v>
      </c>
      <c r="B170">
        <v>5</v>
      </c>
      <c r="C170" t="str" cm="1">
        <f t="array" ref="C170">GetValue("Eng","Name",B170)</f>
        <v>Firebird</v>
      </c>
      <c r="D170">
        <v>17</v>
      </c>
      <c r="E170" t="str" cm="1">
        <f t="array" ref="E170">GetValue("Typ","Name",D170)</f>
        <v>nchar(n)</v>
      </c>
      <c r="F170" t="str">
        <v>CHAR</v>
      </c>
    </row>
    <row r="171">
      <c r="A171">
        <f>ROW(A171)-1</f>
        <v>170</v>
      </c>
      <c r="B171">
        <v>5</v>
      </c>
      <c r="C171" t="str" cm="1">
        <f t="array" ref="C171">GetValue("Eng","Name",B171)</f>
        <v>Firebird</v>
      </c>
      <c r="D171">
        <v>18</v>
      </c>
      <c r="E171" t="str" cm="1">
        <f t="array" ref="E171">GetValue("Typ","Name",D171)</f>
        <v>ntext</v>
      </c>
      <c r="F171" t="str">
        <v>BLOB SUB_TYPE TEXT</v>
      </c>
    </row>
    <row r="172">
      <c r="A172">
        <f>ROW(A172)-1</f>
        <v>171</v>
      </c>
      <c r="B172">
        <v>5</v>
      </c>
      <c r="C172" t="str" cm="1">
        <f t="array" ref="C172">GetValue("Eng","Name",B172)</f>
        <v>Firebird</v>
      </c>
      <c r="D172">
        <v>19</v>
      </c>
      <c r="E172" t="str" cm="1">
        <f t="array" ref="E172">GetValue("Typ","Name",D172)</f>
        <v>numeric(p,s)</v>
      </c>
      <c r="F172" t="str">
        <v>NUMERIC</v>
      </c>
    </row>
    <row r="173">
      <c r="A173">
        <f>ROW(A173)-1</f>
        <v>172</v>
      </c>
      <c r="B173">
        <v>5</v>
      </c>
      <c r="C173" t="str" cm="1">
        <f t="array" ref="C173">GetValue("Eng","Name",B173)</f>
        <v>Firebird</v>
      </c>
      <c r="D173">
        <v>20</v>
      </c>
      <c r="E173" t="str" cm="1">
        <f t="array" ref="E173">GetValue("Typ","Name",D173)</f>
        <v>nvarchar(n)</v>
      </c>
      <c r="F173" t="str">
        <v>VARCHAR</v>
      </c>
    </row>
    <row r="174">
      <c r="A174">
        <f>ROW(A174)-1</f>
        <v>173</v>
      </c>
      <c r="B174">
        <v>5</v>
      </c>
      <c r="C174" t="str" cm="1">
        <f t="array" ref="C174">GetValue("Eng","Name",B174)</f>
        <v>Firebird</v>
      </c>
      <c r="D174">
        <v>21</v>
      </c>
      <c r="E174" t="str" cm="1">
        <f t="array" ref="E174">GetValue("Typ","Name",D174)</f>
        <v>nvarchar(max)</v>
      </c>
      <c r="F174" t="str">
        <v>BLOB SUB_TYPE TEXT</v>
      </c>
    </row>
    <row r="175">
      <c r="A175">
        <f>ROW(A175)-1</f>
        <v>174</v>
      </c>
      <c r="B175">
        <v>5</v>
      </c>
      <c r="C175" t="str" cm="1">
        <f t="array" ref="C175">GetValue("Eng","Name",B175)</f>
        <v>Firebird</v>
      </c>
      <c r="D175">
        <v>22</v>
      </c>
      <c r="E175" t="str" cm="1">
        <f t="array" ref="E175">GetValue("Typ","Name",D175)</f>
        <v>real</v>
      </c>
      <c r="F175" t="str">
        <v>FLOAT</v>
      </c>
    </row>
    <row r="176">
      <c r="A176">
        <f>ROW(A176)-1</f>
        <v>175</v>
      </c>
      <c r="B176">
        <v>5</v>
      </c>
      <c r="C176" t="str" cm="1">
        <f t="array" ref="C176">GetValue("Eng","Name",B176)</f>
        <v>Firebird</v>
      </c>
      <c r="D176">
        <v>23</v>
      </c>
      <c r="E176" t="str" cm="1">
        <f t="array" ref="E176">GetValue("Typ","Name",D176)</f>
        <v>smalldatetime</v>
      </c>
      <c r="F176" t="str">
        <v>TIMESTAMP</v>
      </c>
    </row>
    <row r="177">
      <c r="A177">
        <f>ROW(A177)-1</f>
        <v>176</v>
      </c>
      <c r="B177">
        <v>5</v>
      </c>
      <c r="C177" t="str" cm="1">
        <f t="array" ref="C177">GetValue("Eng","Name",B177)</f>
        <v>Firebird</v>
      </c>
      <c r="D177">
        <v>24</v>
      </c>
      <c r="E177" t="str" cm="1">
        <f t="array" ref="E177">GetValue("Typ","Name",D177)</f>
        <v>smallint (2 bytes)</v>
      </c>
      <c r="F177" t="str">
        <v>SMALLINT</v>
      </c>
    </row>
    <row r="178">
      <c r="A178">
        <f>ROW(A178)-1</f>
        <v>177</v>
      </c>
      <c r="B178">
        <v>5</v>
      </c>
      <c r="C178" t="str" cm="1">
        <f t="array" ref="C178">GetValue("Eng","Name",B178)</f>
        <v>Firebird</v>
      </c>
      <c r="D178">
        <v>25</v>
      </c>
      <c r="E178" t="str" cm="1">
        <f t="array" ref="E178">GetValue("Typ","Name",D178)</f>
        <v>smallmoney</v>
      </c>
      <c r="F178" t="str">
        <v>DECIMAL</v>
      </c>
      <c r="G178">
        <v>10</v>
      </c>
      <c r="H178">
        <v>4</v>
      </c>
    </row>
    <row r="179">
      <c r="A179">
        <f>ROW(A179)-1</f>
        <v>178</v>
      </c>
      <c r="B179">
        <v>5</v>
      </c>
      <c r="C179" t="str" cm="1">
        <f t="array" ref="C179">GetValue("Eng","Name",B179)</f>
        <v>Firebird</v>
      </c>
      <c r="D179">
        <v>26</v>
      </c>
      <c r="E179" t="str" cm="1">
        <f t="array" ref="E179">GetValue("Typ","Name",D179)</f>
        <v>sql_variant</v>
      </c>
      <c r="F179" t="str">
        <v>BLOB SUB_TYPE TEXT</v>
      </c>
    </row>
    <row r="180">
      <c r="A180">
        <f>ROW(A180)-1</f>
        <v>179</v>
      </c>
      <c r="B180">
        <v>5</v>
      </c>
      <c r="C180" t="str" cm="1">
        <f t="array" ref="C180">GetValue("Eng","Name",B180)</f>
        <v>Firebird</v>
      </c>
      <c r="D180">
        <v>27</v>
      </c>
      <c r="E180" t="str" cm="1">
        <f t="array" ref="E180">GetValue("Typ","Name",D180)</f>
        <v>sysname</v>
      </c>
      <c r="F180" t="str">
        <v>VARCHAR</v>
      </c>
      <c r="G180">
        <v>31</v>
      </c>
    </row>
    <row r="181">
      <c r="A181">
        <f>ROW(A181)-1</f>
        <v>180</v>
      </c>
      <c r="B181">
        <v>5</v>
      </c>
      <c r="C181" t="str" cm="1">
        <f t="array" ref="C181">GetValue("Eng","Name",B181)</f>
        <v>Firebird</v>
      </c>
      <c r="D181">
        <v>28</v>
      </c>
      <c r="E181" t="str" cm="1">
        <f t="array" ref="E181">GetValue("Typ","Name",D181)</f>
        <v>text</v>
      </c>
      <c r="F181" t="str">
        <v>BLOB SUB_TYPE TEXT</v>
      </c>
    </row>
    <row r="182">
      <c r="A182">
        <f>ROW(A182)-1</f>
        <v>181</v>
      </c>
      <c r="B182">
        <v>5</v>
      </c>
      <c r="C182" t="str" cm="1">
        <f t="array" ref="C182">GetValue("Eng","Name",B182)</f>
        <v>Firebird</v>
      </c>
      <c r="D182">
        <v>29</v>
      </c>
      <c r="E182" t="str" cm="1">
        <f t="array" ref="E182">GetValue("Typ","Name",D182)</f>
        <v>time(s)</v>
      </c>
      <c r="F182" t="str">
        <v>TIME</v>
      </c>
    </row>
    <row r="183">
      <c r="A183">
        <f>ROW(A183)-1</f>
        <v>182</v>
      </c>
      <c r="B183">
        <v>5</v>
      </c>
      <c r="C183" t="str" cm="1">
        <f t="array" ref="C183">GetValue("Eng","Name",B183)</f>
        <v>Firebird</v>
      </c>
      <c r="D183">
        <v>30</v>
      </c>
      <c r="E183" t="str" cm="1">
        <f t="array" ref="E183">GetValue("Typ","Name",D183)</f>
        <v>timestamp</v>
      </c>
      <c r="F183" t="str">
        <v>TIMESTAMP</v>
      </c>
    </row>
    <row r="184">
      <c r="A184">
        <f>ROW(A184)-1</f>
        <v>183</v>
      </c>
      <c r="B184">
        <v>5</v>
      </c>
      <c r="C184" t="str" cm="1">
        <f t="array" ref="C184">GetValue("Eng","Name",B184)</f>
        <v>Firebird</v>
      </c>
      <c r="D184">
        <v>31</v>
      </c>
      <c r="E184" t="str" cm="1">
        <f t="array" ref="E184">GetValue("Typ","Name",D184)</f>
        <v>tinyint (1 byte)</v>
      </c>
      <c r="F184" t="str">
        <v>SMALLINT</v>
      </c>
    </row>
    <row r="185">
      <c r="A185">
        <f>ROW(A185)-1</f>
        <v>184</v>
      </c>
      <c r="B185">
        <v>5</v>
      </c>
      <c r="C185" t="str" cm="1">
        <f t="array" ref="C185">GetValue("Eng","Name",B185)</f>
        <v>Firebird</v>
      </c>
      <c r="D185">
        <v>32</v>
      </c>
      <c r="E185" t="str" cm="1">
        <f t="array" ref="E185">GetValue("Typ","Name",D185)</f>
        <v>uniqueidentifier</v>
      </c>
      <c r="F185" t="str">
        <v>CHAR</v>
      </c>
      <c r="G185">
        <v>38</v>
      </c>
    </row>
    <row r="186">
      <c r="A186">
        <f>ROW(A186)-1</f>
        <v>185</v>
      </c>
      <c r="B186">
        <v>5</v>
      </c>
      <c r="C186" t="str" cm="1">
        <f t="array" ref="C186">GetValue("Eng","Name",B186)</f>
        <v>Firebird</v>
      </c>
      <c r="D186">
        <v>33</v>
      </c>
      <c r="E186" t="str" cm="1">
        <f t="array" ref="E186">GetValue("Typ","Name",D186)</f>
        <v>varbinary(n)</v>
      </c>
      <c r="F186" t="str">
        <v>BLOB SUB_TYPE 0</v>
      </c>
    </row>
    <row r="187">
      <c r="A187">
        <f>ROW(A187)-1</f>
        <v>186</v>
      </c>
      <c r="B187">
        <v>5</v>
      </c>
      <c r="C187" t="str" cm="1">
        <f t="array" ref="C187">GetValue("Eng","Name",B187)</f>
        <v>Firebird</v>
      </c>
      <c r="D187">
        <v>34</v>
      </c>
      <c r="E187" t="str" cm="1">
        <f t="array" ref="E187">GetValue("Typ","Name",D187)</f>
        <v>varbinary(max)</v>
      </c>
      <c r="F187" t="str">
        <v>BLOB</v>
      </c>
    </row>
    <row r="188">
      <c r="A188">
        <f>ROW(A188)-1</f>
        <v>187</v>
      </c>
      <c r="B188">
        <v>5</v>
      </c>
      <c r="C188" t="str" cm="1">
        <f t="array" ref="C188">GetValue("Eng","Name",B188)</f>
        <v>Firebird</v>
      </c>
      <c r="D188">
        <v>35</v>
      </c>
      <c r="E188" t="str" cm="1">
        <f t="array" ref="E188">GetValue("Typ","Name",D188)</f>
        <v>varchar(n)</v>
      </c>
      <c r="F188" t="str">
        <v>VARCHAR</v>
      </c>
    </row>
    <row r="189">
      <c r="A189">
        <f>ROW(A189)-1</f>
        <v>188</v>
      </c>
      <c r="B189">
        <v>5</v>
      </c>
      <c r="C189" t="str" cm="1">
        <f t="array" ref="C189">GetValue("Eng","Name",B189)</f>
        <v>Firebird</v>
      </c>
      <c r="D189">
        <v>36</v>
      </c>
      <c r="E189" t="str" cm="1">
        <f t="array" ref="E189">GetValue("Typ","Name",D189)</f>
        <v>varchar(max)</v>
      </c>
      <c r="F189" t="str">
        <v>BLOB SUB_TYPE TEXT</v>
      </c>
    </row>
    <row r="190">
      <c r="A190">
        <f>ROW(A190)-1</f>
        <v>189</v>
      </c>
      <c r="B190">
        <v>5</v>
      </c>
      <c r="C190" t="str" cm="1">
        <f t="array" ref="C190">GetValue("Eng","Name",B190)</f>
        <v>Firebird</v>
      </c>
      <c r="D190">
        <v>37</v>
      </c>
      <c r="E190" t="str" cm="1">
        <f t="array" ref="E190">GetValue("Typ","Name",D190)</f>
        <v>xml</v>
      </c>
      <c r="F190" t="str">
        <v>BLOB SUB_TYPE TEXT</v>
      </c>
    </row>
    <row r="191">
      <c r="A191">
        <f>ROW(A191)-1</f>
        <v>190</v>
      </c>
      <c r="B191">
        <v>5</v>
      </c>
      <c r="C191" t="str" cm="1">
        <f t="array" ref="C191">GetValue("Eng","Name",B191)</f>
        <v>Firebird</v>
      </c>
      <c r="D191">
        <v>38</v>
      </c>
      <c r="E191" t="str" cm="1">
        <f t="array" ref="E191">GetValue("Typ","Name",D191)</f>
        <v>json</v>
      </c>
      <c r="F191" t="str">
        <v>BLOB SUB_TYPE TEXT</v>
      </c>
    </row>
    <row r="192">
      <c r="A192">
        <f>ROW(A192)-1</f>
        <v>191</v>
      </c>
      <c r="B192">
        <v>6</v>
      </c>
      <c r="C192" t="str" cm="1">
        <f t="array" ref="C192">GetValue("Eng","Name",B192)</f>
        <v>Interbase</v>
      </c>
      <c r="D192">
        <v>1</v>
      </c>
      <c r="E192" t="str" cm="1">
        <f t="array" ref="E192">GetValue("Typ","Name",D192)</f>
        <v>bigint (8 bytes)</v>
      </c>
      <c r="F192" t="str">
        <v>BIGINT</v>
      </c>
    </row>
    <row r="193">
      <c r="A193">
        <f>ROW(A193)-1</f>
        <v>192</v>
      </c>
      <c r="B193">
        <v>6</v>
      </c>
      <c r="C193" t="str" cm="1">
        <f t="array" ref="C193">GetValue("Eng","Name",B193)</f>
        <v>Interbase</v>
      </c>
      <c r="D193">
        <v>2</v>
      </c>
      <c r="E193" t="str" cm="1">
        <f t="array" ref="E193">GetValue("Typ","Name",D193)</f>
        <v>binary</v>
      </c>
      <c r="F193" t="str">
        <v>BINARY</v>
      </c>
    </row>
    <row r="194">
      <c r="A194">
        <f>ROW(A194)-1</f>
        <v>193</v>
      </c>
      <c r="B194">
        <v>6</v>
      </c>
      <c r="C194" t="str" cm="1">
        <f t="array" ref="C194">GetValue("Eng","Name",B194)</f>
        <v>Interbase</v>
      </c>
      <c r="D194">
        <v>3</v>
      </c>
      <c r="E194" t="str" cm="1">
        <f t="array" ref="E194">GetValue("Typ","Name",D194)</f>
        <v>bit (1 bit)</v>
      </c>
      <c r="F194" t="str">
        <v>SMALLINT</v>
      </c>
    </row>
    <row r="195">
      <c r="A195">
        <f>ROW(A195)-1</f>
        <v>194</v>
      </c>
      <c r="B195">
        <v>6</v>
      </c>
      <c r="C195" t="str" cm="1">
        <f t="array" ref="C195">GetValue("Eng","Name",B195)</f>
        <v>Interbase</v>
      </c>
      <c r="D195">
        <v>4</v>
      </c>
      <c r="E195" t="str" cm="1">
        <f t="array" ref="E195">GetValue("Typ","Name",D195)</f>
        <v>char(n)</v>
      </c>
      <c r="F195" t="str">
        <v>CHAR</v>
      </c>
    </row>
    <row r="196">
      <c r="A196">
        <f>ROW(A196)-1</f>
        <v>195</v>
      </c>
      <c r="B196">
        <v>6</v>
      </c>
      <c r="C196" t="str" cm="1">
        <f t="array" ref="C196">GetValue("Eng","Name",B196)</f>
        <v>Interbase</v>
      </c>
      <c r="D196">
        <v>5</v>
      </c>
      <c r="E196" t="str" cm="1">
        <f t="array" ref="E196">GetValue("Typ","Name",D196)</f>
        <v>date</v>
      </c>
      <c r="F196" t="str">
        <v>DATE</v>
      </c>
    </row>
    <row r="197">
      <c r="A197">
        <f>ROW(A197)-1</f>
        <v>196</v>
      </c>
      <c r="B197">
        <v>6</v>
      </c>
      <c r="C197" t="str" cm="1">
        <f t="array" ref="C197">GetValue("Eng","Name",B197)</f>
        <v>Interbase</v>
      </c>
      <c r="D197">
        <v>6</v>
      </c>
      <c r="E197" t="str" cm="1">
        <f t="array" ref="E197">GetValue("Typ","Name",D197)</f>
        <v>datetime</v>
      </c>
      <c r="F197" t="str">
        <v>TIMESTAMP</v>
      </c>
    </row>
    <row r="198">
      <c r="A198">
        <f>ROW(A198)-1</f>
        <v>197</v>
      </c>
      <c r="B198">
        <v>6</v>
      </c>
      <c r="C198" t="str" cm="1">
        <f t="array" ref="C198">GetValue("Eng","Name",B198)</f>
        <v>Interbase</v>
      </c>
      <c r="D198">
        <v>7</v>
      </c>
      <c r="E198" t="str" cm="1">
        <f t="array" ref="E198">GetValue("Typ","Name",D198)</f>
        <v>datetime2(s)</v>
      </c>
      <c r="F198" t="str">
        <v>TIMESTAMP</v>
      </c>
    </row>
    <row r="199">
      <c r="A199">
        <f>ROW(A199)-1</f>
        <v>198</v>
      </c>
      <c r="B199">
        <v>6</v>
      </c>
      <c r="C199" t="str" cm="1">
        <f t="array" ref="C199">GetValue("Eng","Name",B199)</f>
        <v>Interbase</v>
      </c>
      <c r="D199">
        <v>8</v>
      </c>
      <c r="E199" t="str" cm="1">
        <f t="array" ref="E199">GetValue("Typ","Name",D199)</f>
        <v>datetimeoffset(s)</v>
      </c>
      <c r="F199" t="str">
        <v>TIMESTAMP WITH TIME ZONE</v>
      </c>
    </row>
    <row r="200">
      <c r="A200">
        <f>ROW(A200)-1</f>
        <v>199</v>
      </c>
      <c r="B200">
        <v>6</v>
      </c>
      <c r="C200" t="str" cm="1">
        <f t="array" ref="C200">GetValue("Eng","Name",B200)</f>
        <v>Interbase</v>
      </c>
      <c r="D200">
        <v>9</v>
      </c>
      <c r="E200" t="str" cm="1">
        <f t="array" ref="E200">GetValue("Typ","Name",D200)</f>
        <v>decimal(p ,s)</v>
      </c>
      <c r="F200" t="str">
        <v>DECIMAL</v>
      </c>
    </row>
    <row r="201">
      <c r="A201">
        <f>ROW(A201)-1</f>
        <v>200</v>
      </c>
      <c r="B201">
        <v>6</v>
      </c>
      <c r="C201" t="str" cm="1">
        <f t="array" ref="C201">GetValue("Eng","Name",B201)</f>
        <v>Interbase</v>
      </c>
      <c r="D201">
        <v>10</v>
      </c>
      <c r="E201" t="str" cm="1">
        <f t="array" ref="E201">GetValue("Typ","Name",D201)</f>
        <v>float(n)</v>
      </c>
      <c r="F201" t="str">
        <v>DOUBLE PRECISION</v>
      </c>
    </row>
    <row r="202">
      <c r="A202">
        <f>ROW(A202)-1</f>
        <v>201</v>
      </c>
      <c r="B202">
        <v>6</v>
      </c>
      <c r="C202" t="str" cm="1">
        <f t="array" ref="C202">GetValue("Eng","Name",B202)</f>
        <v>Interbase</v>
      </c>
      <c r="D202">
        <v>11</v>
      </c>
      <c r="E202" t="str" cm="1">
        <f t="array" ref="E202">GetValue("Typ","Name",D202)</f>
        <v>geography</v>
      </c>
    </row>
    <row r="203">
      <c r="A203">
        <f>ROW(A203)-1</f>
        <v>202</v>
      </c>
      <c r="B203">
        <v>6</v>
      </c>
      <c r="C203" t="str" cm="1">
        <f t="array" ref="C203">GetValue("Eng","Name",B203)</f>
        <v>Interbase</v>
      </c>
      <c r="D203">
        <v>12</v>
      </c>
      <c r="E203" t="str" cm="1">
        <f t="array" ref="E203">GetValue("Typ","Name",D203)</f>
        <v>geometry</v>
      </c>
    </row>
    <row r="204">
      <c r="A204">
        <f>ROW(A204)-1</f>
        <v>203</v>
      </c>
      <c r="B204">
        <v>6</v>
      </c>
      <c r="C204" t="str" cm="1">
        <f t="array" ref="C204">GetValue("Eng","Name",B204)</f>
        <v>Interbase</v>
      </c>
      <c r="D204">
        <v>13</v>
      </c>
      <c r="E204" t="str" cm="1">
        <f t="array" ref="E204">GetValue("Typ","Name",D204)</f>
        <v>hierarchyid</v>
      </c>
    </row>
    <row r="205">
      <c r="A205">
        <f>ROW(A205)-1</f>
        <v>204</v>
      </c>
      <c r="B205">
        <v>6</v>
      </c>
      <c r="C205" t="str" cm="1">
        <f t="array" ref="C205">GetValue("Eng","Name",B205)</f>
        <v>Interbase</v>
      </c>
      <c r="D205">
        <v>14</v>
      </c>
      <c r="E205" t="str" cm="1">
        <f t="array" ref="E205">GetValue("Typ","Name",D205)</f>
        <v>image</v>
      </c>
      <c r="F205" t="str">
        <v>BLOB SUB_TYPE 0</v>
      </c>
    </row>
    <row r="206">
      <c r="A206">
        <f>ROW(A206)-1</f>
        <v>205</v>
      </c>
      <c r="B206">
        <v>6</v>
      </c>
      <c r="C206" t="str" cm="1">
        <f t="array" ref="C206">GetValue("Eng","Name",B206)</f>
        <v>Interbase</v>
      </c>
      <c r="D206">
        <v>15</v>
      </c>
      <c r="E206" t="str" cm="1">
        <f t="array" ref="E206">GetValue("Typ","Name",D206)</f>
        <v>int (4 bytes)</v>
      </c>
      <c r="F206" t="str">
        <v>INTEGER</v>
      </c>
    </row>
    <row r="207">
      <c r="A207">
        <f>ROW(A207)-1</f>
        <v>206</v>
      </c>
      <c r="B207">
        <v>6</v>
      </c>
      <c r="C207" t="str" cm="1">
        <f t="array" ref="C207">GetValue("Eng","Name",B207)</f>
        <v>Interbase</v>
      </c>
      <c r="D207">
        <v>16</v>
      </c>
      <c r="E207" t="str" cm="1">
        <f t="array" ref="E207">GetValue("Typ","Name",D207)</f>
        <v>money</v>
      </c>
      <c r="F207" t="str">
        <v>DECIMAL</v>
      </c>
      <c r="G207">
        <v>19</v>
      </c>
      <c r="H207">
        <v>4</v>
      </c>
    </row>
    <row r="208">
      <c r="A208">
        <f>ROW(A208)-1</f>
        <v>207</v>
      </c>
      <c r="B208">
        <v>6</v>
      </c>
      <c r="C208" t="str" cm="1">
        <f t="array" ref="C208">GetValue("Eng","Name",B208)</f>
        <v>Interbase</v>
      </c>
      <c r="D208">
        <v>17</v>
      </c>
      <c r="E208" t="str" cm="1">
        <f t="array" ref="E208">GetValue("Typ","Name",D208)</f>
        <v>nchar(n)</v>
      </c>
      <c r="F208" t="str">
        <v>CHAR</v>
      </c>
    </row>
    <row r="209">
      <c r="A209">
        <f>ROW(A209)-1</f>
        <v>208</v>
      </c>
      <c r="B209">
        <v>6</v>
      </c>
      <c r="C209" t="str" cm="1">
        <f t="array" ref="C209">GetValue("Eng","Name",B209)</f>
        <v>Interbase</v>
      </c>
      <c r="D209">
        <v>18</v>
      </c>
      <c r="E209" t="str" cm="1">
        <f t="array" ref="E209">GetValue("Typ","Name",D209)</f>
        <v>ntext</v>
      </c>
      <c r="F209" t="str">
        <v>BLOB SUB_TYPE TEXT</v>
      </c>
    </row>
    <row r="210">
      <c r="A210">
        <f>ROW(A210)-1</f>
        <v>209</v>
      </c>
      <c r="B210">
        <v>6</v>
      </c>
      <c r="C210" t="str" cm="1">
        <f t="array" ref="C210">GetValue("Eng","Name",B210)</f>
        <v>Interbase</v>
      </c>
      <c r="D210">
        <v>19</v>
      </c>
      <c r="E210" t="str" cm="1">
        <f t="array" ref="E210">GetValue("Typ","Name",D210)</f>
        <v>numeric(p,s)</v>
      </c>
      <c r="F210" t="str">
        <v>NUMERIC</v>
      </c>
    </row>
    <row r="211">
      <c r="A211">
        <f>ROW(A211)-1</f>
        <v>210</v>
      </c>
      <c r="B211">
        <v>6</v>
      </c>
      <c r="C211" t="str" cm="1">
        <f t="array" ref="C211">GetValue("Eng","Name",B211)</f>
        <v>Interbase</v>
      </c>
      <c r="D211">
        <v>20</v>
      </c>
      <c r="E211" t="str" cm="1">
        <f t="array" ref="E211">GetValue("Typ","Name",D211)</f>
        <v>nvarchar(n)</v>
      </c>
      <c r="F211" t="str">
        <v>VARCHAR</v>
      </c>
    </row>
    <row r="212">
      <c r="A212">
        <f>ROW(A212)-1</f>
        <v>211</v>
      </c>
      <c r="B212">
        <v>6</v>
      </c>
      <c r="C212" t="str" cm="1">
        <f t="array" ref="C212">GetValue("Eng","Name",B212)</f>
        <v>Interbase</v>
      </c>
      <c r="D212">
        <v>21</v>
      </c>
      <c r="E212" t="str" cm="1">
        <f t="array" ref="E212">GetValue("Typ","Name",D212)</f>
        <v>nvarchar(max)</v>
      </c>
      <c r="F212" t="str">
        <v>BLOB SUB_TYPE TEXT</v>
      </c>
    </row>
    <row r="213">
      <c r="A213">
        <f>ROW(A213)-1</f>
        <v>212</v>
      </c>
      <c r="B213">
        <v>6</v>
      </c>
      <c r="C213" t="str" cm="1">
        <f t="array" ref="C213">GetValue("Eng","Name",B213)</f>
        <v>Interbase</v>
      </c>
      <c r="D213">
        <v>22</v>
      </c>
      <c r="E213" t="str" cm="1">
        <f t="array" ref="E213">GetValue("Typ","Name",D213)</f>
        <v>real</v>
      </c>
      <c r="F213" t="str">
        <v>FLOAT</v>
      </c>
    </row>
    <row r="214">
      <c r="A214">
        <f>ROW(A214)-1</f>
        <v>213</v>
      </c>
      <c r="B214">
        <v>6</v>
      </c>
      <c r="C214" t="str" cm="1">
        <f t="array" ref="C214">GetValue("Eng","Name",B214)</f>
        <v>Interbase</v>
      </c>
      <c r="D214">
        <v>23</v>
      </c>
      <c r="E214" t="str" cm="1">
        <f t="array" ref="E214">GetValue("Typ","Name",D214)</f>
        <v>smalldatetime</v>
      </c>
      <c r="F214" t="str">
        <v>TIMESTAMP</v>
      </c>
    </row>
    <row r="215">
      <c r="A215">
        <f>ROW(A215)-1</f>
        <v>214</v>
      </c>
      <c r="B215">
        <v>6</v>
      </c>
      <c r="C215" t="str" cm="1">
        <f t="array" ref="C215">GetValue("Eng","Name",B215)</f>
        <v>Interbase</v>
      </c>
      <c r="D215">
        <v>24</v>
      </c>
      <c r="E215" t="str" cm="1">
        <f t="array" ref="E215">GetValue("Typ","Name",D215)</f>
        <v>smallint (2 bytes)</v>
      </c>
      <c r="F215" t="str">
        <v>SMALLINT</v>
      </c>
    </row>
    <row r="216">
      <c r="A216">
        <f>ROW(A216)-1</f>
        <v>215</v>
      </c>
      <c r="B216">
        <v>6</v>
      </c>
      <c r="C216" t="str" cm="1">
        <f t="array" ref="C216">GetValue("Eng","Name",B216)</f>
        <v>Interbase</v>
      </c>
      <c r="D216">
        <v>25</v>
      </c>
      <c r="E216" t="str" cm="1">
        <f t="array" ref="E216">GetValue("Typ","Name",D216)</f>
        <v>smallmoney</v>
      </c>
      <c r="F216" t="str">
        <v>DECIMAL</v>
      </c>
      <c r="G216">
        <v>10</v>
      </c>
      <c r="H216">
        <v>4</v>
      </c>
    </row>
    <row r="217">
      <c r="A217">
        <f>ROW(A217)-1</f>
        <v>216</v>
      </c>
      <c r="B217">
        <v>6</v>
      </c>
      <c r="C217" t="str" cm="1">
        <f t="array" ref="C217">GetValue("Eng","Name",B217)</f>
        <v>Interbase</v>
      </c>
      <c r="D217">
        <v>26</v>
      </c>
      <c r="E217" t="str" cm="1">
        <f t="array" ref="E217">GetValue("Typ","Name",D217)</f>
        <v>sql_variant</v>
      </c>
      <c r="F217" t="str">
        <v>BLOB SUB_TYPE TEXT</v>
      </c>
    </row>
    <row r="218">
      <c r="A218">
        <f>ROW(A218)-1</f>
        <v>217</v>
      </c>
      <c r="B218">
        <v>6</v>
      </c>
      <c r="C218" t="str" cm="1">
        <f t="array" ref="C218">GetValue("Eng","Name",B218)</f>
        <v>Interbase</v>
      </c>
      <c r="D218">
        <v>27</v>
      </c>
      <c r="E218" t="str" cm="1">
        <f t="array" ref="E218">GetValue("Typ","Name",D218)</f>
        <v>sysname</v>
      </c>
      <c r="F218" t="str">
        <v>VARCHAR</v>
      </c>
      <c r="G218">
        <v>31</v>
      </c>
    </row>
    <row r="219">
      <c r="A219">
        <f>ROW(A219)-1</f>
        <v>218</v>
      </c>
      <c r="B219">
        <v>6</v>
      </c>
      <c r="C219" t="str" cm="1">
        <f t="array" ref="C219">GetValue("Eng","Name",B219)</f>
        <v>Interbase</v>
      </c>
      <c r="D219">
        <v>28</v>
      </c>
      <c r="E219" t="str" cm="1">
        <f t="array" ref="E219">GetValue("Typ","Name",D219)</f>
        <v>text</v>
      </c>
      <c r="F219" t="str">
        <v>BLOB SUB_TYPE TEXT</v>
      </c>
    </row>
    <row r="220">
      <c r="A220">
        <f>ROW(A220)-1</f>
        <v>219</v>
      </c>
      <c r="B220">
        <v>6</v>
      </c>
      <c r="C220" t="str" cm="1">
        <f t="array" ref="C220">GetValue("Eng","Name",B220)</f>
        <v>Interbase</v>
      </c>
      <c r="D220">
        <v>29</v>
      </c>
      <c r="E220" t="str" cm="1">
        <f t="array" ref="E220">GetValue("Typ","Name",D220)</f>
        <v>time(s)</v>
      </c>
      <c r="F220" t="str">
        <v>TIME</v>
      </c>
    </row>
    <row r="221">
      <c r="A221">
        <f>ROW(A221)-1</f>
        <v>220</v>
      </c>
      <c r="B221">
        <v>6</v>
      </c>
      <c r="C221" t="str" cm="1">
        <f t="array" ref="C221">GetValue("Eng","Name",B221)</f>
        <v>Interbase</v>
      </c>
      <c r="D221">
        <v>30</v>
      </c>
      <c r="E221" t="str" cm="1">
        <f t="array" ref="E221">GetValue("Typ","Name",D221)</f>
        <v>timestamp</v>
      </c>
      <c r="F221" t="str">
        <v>TIMESTAMP</v>
      </c>
    </row>
    <row r="222">
      <c r="A222">
        <f>ROW(A222)-1</f>
        <v>221</v>
      </c>
      <c r="B222">
        <v>6</v>
      </c>
      <c r="C222" t="str" cm="1">
        <f t="array" ref="C222">GetValue("Eng","Name",B222)</f>
        <v>Interbase</v>
      </c>
      <c r="D222">
        <v>31</v>
      </c>
      <c r="E222" t="str" cm="1">
        <f t="array" ref="E222">GetValue("Typ","Name",D222)</f>
        <v>tinyint (1 byte)</v>
      </c>
      <c r="F222" t="str">
        <v>SMALLINT</v>
      </c>
    </row>
    <row r="223">
      <c r="A223">
        <f>ROW(A223)-1</f>
        <v>222</v>
      </c>
      <c r="B223">
        <v>6</v>
      </c>
      <c r="C223" t="str" cm="1">
        <f t="array" ref="C223">GetValue("Eng","Name",B223)</f>
        <v>Interbase</v>
      </c>
      <c r="D223">
        <v>32</v>
      </c>
      <c r="E223" t="str" cm="1">
        <f t="array" ref="E223">GetValue("Typ","Name",D223)</f>
        <v>uniqueidentifier</v>
      </c>
      <c r="F223" t="str">
        <v>CHAR</v>
      </c>
      <c r="G223">
        <v>38</v>
      </c>
    </row>
    <row r="224">
      <c r="A224">
        <f>ROW(A224)-1</f>
        <v>223</v>
      </c>
      <c r="B224">
        <v>6</v>
      </c>
      <c r="C224" t="str" cm="1">
        <f t="array" ref="C224">GetValue("Eng","Name",B224)</f>
        <v>Interbase</v>
      </c>
      <c r="D224">
        <v>33</v>
      </c>
      <c r="E224" t="str" cm="1">
        <f t="array" ref="E224">GetValue("Typ","Name",D224)</f>
        <v>varbinary(n)</v>
      </c>
      <c r="F224" t="str">
        <v>BLOB SUB_TYPE 0</v>
      </c>
    </row>
    <row r="225">
      <c r="A225">
        <f>ROW(A225)-1</f>
        <v>224</v>
      </c>
      <c r="B225">
        <v>6</v>
      </c>
      <c r="C225" t="str" cm="1">
        <f t="array" ref="C225">GetValue("Eng","Name",B225)</f>
        <v>Interbase</v>
      </c>
      <c r="D225">
        <v>34</v>
      </c>
      <c r="E225" t="str" cm="1">
        <f t="array" ref="E225">GetValue("Typ","Name",D225)</f>
        <v>varbinary(max)</v>
      </c>
      <c r="F225" t="str">
        <v>BLOB</v>
      </c>
    </row>
    <row r="226">
      <c r="A226">
        <f>ROW(A226)-1</f>
        <v>225</v>
      </c>
      <c r="B226">
        <v>6</v>
      </c>
      <c r="C226" t="str" cm="1">
        <f t="array" ref="C226">GetValue("Eng","Name",B226)</f>
        <v>Interbase</v>
      </c>
      <c r="D226">
        <v>35</v>
      </c>
      <c r="E226" t="str" cm="1">
        <f t="array" ref="E226">GetValue("Typ","Name",D226)</f>
        <v>varchar(n)</v>
      </c>
      <c r="F226" t="str">
        <v>VARCHAR</v>
      </c>
    </row>
    <row r="227">
      <c r="A227">
        <f>ROW(A227)-1</f>
        <v>226</v>
      </c>
      <c r="B227">
        <v>6</v>
      </c>
      <c r="C227" t="str" cm="1">
        <f t="array" ref="C227">GetValue("Eng","Name",B227)</f>
        <v>Interbase</v>
      </c>
      <c r="D227">
        <v>36</v>
      </c>
      <c r="E227" t="str" cm="1">
        <f t="array" ref="E227">GetValue("Typ","Name",D227)</f>
        <v>varchar(max)</v>
      </c>
      <c r="F227" t="str">
        <v>BLOB SUB_TYPE TEXT</v>
      </c>
    </row>
    <row r="228">
      <c r="A228">
        <f>ROW(A228)-1</f>
        <v>227</v>
      </c>
      <c r="B228">
        <v>6</v>
      </c>
      <c r="C228" t="str" cm="1">
        <f t="array" ref="C228">GetValue("Eng","Name",B228)</f>
        <v>Interbase</v>
      </c>
      <c r="D228">
        <v>37</v>
      </c>
      <c r="E228" t="str" cm="1">
        <f t="array" ref="E228">GetValue("Typ","Name",D228)</f>
        <v>xml</v>
      </c>
      <c r="F228" t="str">
        <v>BLOB SUB_TYPE TEXT</v>
      </c>
    </row>
    <row r="229">
      <c r="A229">
        <f>ROW(A229)-1</f>
        <v>228</v>
      </c>
      <c r="B229">
        <v>6</v>
      </c>
      <c r="C229" t="str" cm="1">
        <f t="array" ref="C229">GetValue("Eng","Name",B229)</f>
        <v>Interbase</v>
      </c>
      <c r="D229">
        <v>38</v>
      </c>
      <c r="E229" t="str" cm="1">
        <f t="array" ref="E229">GetValue("Typ","Name",D229)</f>
        <v>json</v>
      </c>
      <c r="F229" t="str">
        <v>BLOB SUB_TYPE TEXT</v>
      </c>
    </row>
    <row r="230">
      <c r="A230">
        <f>ROW(A230)-1</f>
        <v>229</v>
      </c>
      <c r="B230">
        <v>7</v>
      </c>
      <c r="C230" t="str" cm="1">
        <f t="array" ref="C230">GetValue("Eng","Name",B230)</f>
        <v>SQL Anywhere</v>
      </c>
      <c r="D230">
        <v>1</v>
      </c>
      <c r="E230" t="str" cm="1">
        <f t="array" ref="E230">GetValue("Typ","Name",D230)</f>
        <v>bigint (8 bytes)</v>
      </c>
      <c r="F230" t="str">
        <v>BIGINT</v>
      </c>
    </row>
    <row r="231">
      <c r="A231">
        <f>ROW(A231)-1</f>
        <v>230</v>
      </c>
      <c r="B231">
        <v>7</v>
      </c>
      <c r="C231" t="str" cm="1">
        <f t="array" ref="C231">GetValue("Eng","Name",B231)</f>
        <v>SQL Anywhere</v>
      </c>
      <c r="D231">
        <v>2</v>
      </c>
      <c r="E231" t="str" cm="1">
        <f t="array" ref="E231">GetValue("Typ","Name",D231)</f>
        <v>binary</v>
      </c>
      <c r="F231" t="str">
        <v>BINARY</v>
      </c>
    </row>
    <row r="232">
      <c r="A232">
        <f>ROW(A232)-1</f>
        <v>231</v>
      </c>
      <c r="B232">
        <v>7</v>
      </c>
      <c r="C232" t="str" cm="1">
        <f t="array" ref="C232">GetValue("Eng","Name",B232)</f>
        <v>SQL Anywhere</v>
      </c>
      <c r="D232">
        <v>3</v>
      </c>
      <c r="E232" t="str" cm="1">
        <f t="array" ref="E232">GetValue("Typ","Name",D232)</f>
        <v>bit (1 bit)</v>
      </c>
      <c r="F232" t="str">
        <v>SMALLINT</v>
      </c>
    </row>
    <row r="233">
      <c r="A233">
        <f>ROW(A233)-1</f>
        <v>232</v>
      </c>
      <c r="B233">
        <v>7</v>
      </c>
      <c r="C233" t="str" cm="1">
        <f t="array" ref="C233">GetValue("Eng","Name",B233)</f>
        <v>SQL Anywhere</v>
      </c>
      <c r="D233">
        <v>4</v>
      </c>
      <c r="E233" t="str" cm="1">
        <f t="array" ref="E233">GetValue("Typ","Name",D233)</f>
        <v>char(n)</v>
      </c>
      <c r="F233" t="str">
        <v>CHAR</v>
      </c>
    </row>
    <row r="234">
      <c r="A234">
        <f>ROW(A234)-1</f>
        <v>233</v>
      </c>
      <c r="B234">
        <v>7</v>
      </c>
      <c r="C234" t="str" cm="1">
        <f t="array" ref="C234">GetValue("Eng","Name",B234)</f>
        <v>SQL Anywhere</v>
      </c>
      <c r="D234">
        <v>5</v>
      </c>
      <c r="E234" t="str" cm="1">
        <f t="array" ref="E234">GetValue("Typ","Name",D234)</f>
        <v>date</v>
      </c>
      <c r="F234" t="str">
        <v>DATE</v>
      </c>
    </row>
    <row r="235">
      <c r="A235">
        <f>ROW(A235)-1</f>
        <v>234</v>
      </c>
      <c r="B235">
        <v>7</v>
      </c>
      <c r="C235" t="str" cm="1">
        <f t="array" ref="C235">GetValue("Eng","Name",B235)</f>
        <v>SQL Anywhere</v>
      </c>
      <c r="D235">
        <v>6</v>
      </c>
      <c r="E235" t="str" cm="1">
        <f t="array" ref="E235">GetValue("Typ","Name",D235)</f>
        <v>datetime</v>
      </c>
      <c r="F235" t="str">
        <v>TIMESTAMP</v>
      </c>
    </row>
    <row r="236">
      <c r="A236">
        <f>ROW(A236)-1</f>
        <v>235</v>
      </c>
      <c r="B236">
        <v>7</v>
      </c>
      <c r="C236" t="str" cm="1">
        <f t="array" ref="C236">GetValue("Eng","Name",B236)</f>
        <v>SQL Anywhere</v>
      </c>
      <c r="D236">
        <v>7</v>
      </c>
      <c r="E236" t="str" cm="1">
        <f t="array" ref="E236">GetValue("Typ","Name",D236)</f>
        <v>datetime2(s)</v>
      </c>
      <c r="F236" t="str">
        <v>TIMESTAMP</v>
      </c>
    </row>
    <row r="237">
      <c r="A237">
        <f>ROW(A237)-1</f>
        <v>236</v>
      </c>
      <c r="B237">
        <v>7</v>
      </c>
      <c r="C237" t="str" cm="1">
        <f t="array" ref="C237">GetValue("Eng","Name",B237)</f>
        <v>SQL Anywhere</v>
      </c>
      <c r="D237">
        <v>8</v>
      </c>
      <c r="E237" t="str" cm="1">
        <f t="array" ref="E237">GetValue("Typ","Name",D237)</f>
        <v>datetimeoffset(s)</v>
      </c>
      <c r="F237" t="str">
        <v>TIMESTAMP WITH TIME ZONE</v>
      </c>
    </row>
    <row r="238">
      <c r="A238">
        <f>ROW(A238)-1</f>
        <v>237</v>
      </c>
      <c r="B238">
        <v>7</v>
      </c>
      <c r="C238" t="str" cm="1">
        <f t="array" ref="C238">GetValue("Eng","Name",B238)</f>
        <v>SQL Anywhere</v>
      </c>
      <c r="D238">
        <v>9</v>
      </c>
      <c r="E238" t="str" cm="1">
        <f t="array" ref="E238">GetValue("Typ","Name",D238)</f>
        <v>decimal(p ,s)</v>
      </c>
      <c r="F238" t="str">
        <v>DECIMAL</v>
      </c>
    </row>
    <row r="239">
      <c r="A239">
        <f>ROW(A239)-1</f>
        <v>238</v>
      </c>
      <c r="B239">
        <v>7</v>
      </c>
      <c r="C239" t="str" cm="1">
        <f t="array" ref="C239">GetValue("Eng","Name",B239)</f>
        <v>SQL Anywhere</v>
      </c>
      <c r="D239">
        <v>10</v>
      </c>
      <c r="E239" t="str" cm="1">
        <f t="array" ref="E239">GetValue("Typ","Name",D239)</f>
        <v>float(n)</v>
      </c>
      <c r="F239" t="str">
        <v>DOUBLE PRECISION</v>
      </c>
    </row>
    <row r="240">
      <c r="A240">
        <f>ROW(A240)-1</f>
        <v>239</v>
      </c>
      <c r="B240">
        <v>7</v>
      </c>
      <c r="C240" t="str" cm="1">
        <f t="array" ref="C240">GetValue("Eng","Name",B240)</f>
        <v>SQL Anywhere</v>
      </c>
      <c r="D240">
        <v>11</v>
      </c>
      <c r="E240" t="str" cm="1">
        <f t="array" ref="E240">GetValue("Typ","Name",D240)</f>
        <v>geography</v>
      </c>
    </row>
    <row r="241">
      <c r="A241">
        <f>ROW(A241)-1</f>
        <v>240</v>
      </c>
      <c r="B241">
        <v>7</v>
      </c>
      <c r="C241" t="str" cm="1">
        <f t="array" ref="C241">GetValue("Eng","Name",B241)</f>
        <v>SQL Anywhere</v>
      </c>
      <c r="D241">
        <v>12</v>
      </c>
      <c r="E241" t="str" cm="1">
        <f t="array" ref="E241">GetValue("Typ","Name",D241)</f>
        <v>geometry</v>
      </c>
    </row>
    <row r="242">
      <c r="A242">
        <f>ROW(A242)-1</f>
        <v>241</v>
      </c>
      <c r="B242">
        <v>7</v>
      </c>
      <c r="C242" t="str" cm="1">
        <f t="array" ref="C242">GetValue("Eng","Name",B242)</f>
        <v>SQL Anywhere</v>
      </c>
      <c r="D242">
        <v>13</v>
      </c>
      <c r="E242" t="str" cm="1">
        <f t="array" ref="E242">GetValue("Typ","Name",D242)</f>
        <v>hierarchyid</v>
      </c>
    </row>
    <row r="243">
      <c r="A243">
        <f>ROW(A243)-1</f>
        <v>242</v>
      </c>
      <c r="B243">
        <v>7</v>
      </c>
      <c r="C243" t="str" cm="1">
        <f t="array" ref="C243">GetValue("Eng","Name",B243)</f>
        <v>SQL Anywhere</v>
      </c>
      <c r="D243">
        <v>14</v>
      </c>
      <c r="E243" t="str" cm="1">
        <f t="array" ref="E243">GetValue("Typ","Name",D243)</f>
        <v>image</v>
      </c>
      <c r="F243" t="str">
        <v>LONG BINARY</v>
      </c>
    </row>
    <row r="244">
      <c r="A244">
        <f>ROW(A244)-1</f>
        <v>243</v>
      </c>
      <c r="B244">
        <v>7</v>
      </c>
      <c r="C244" t="str" cm="1">
        <f t="array" ref="C244">GetValue("Eng","Name",B244)</f>
        <v>SQL Anywhere</v>
      </c>
      <c r="D244">
        <v>15</v>
      </c>
      <c r="E244" t="str" cm="1">
        <f t="array" ref="E244">GetValue("Typ","Name",D244)</f>
        <v>int (4 bytes)</v>
      </c>
      <c r="F244" t="str">
        <v>INTEGER</v>
      </c>
    </row>
    <row r="245">
      <c r="A245">
        <f>ROW(A245)-1</f>
        <v>244</v>
      </c>
      <c r="B245">
        <v>7</v>
      </c>
      <c r="C245" t="str" cm="1">
        <f t="array" ref="C245">GetValue("Eng","Name",B245)</f>
        <v>SQL Anywhere</v>
      </c>
      <c r="D245">
        <v>16</v>
      </c>
      <c r="E245" t="str" cm="1">
        <f t="array" ref="E245">GetValue("Typ","Name",D245)</f>
        <v>money</v>
      </c>
      <c r="F245" t="str">
        <v>DECIMAL</v>
      </c>
      <c r="G245">
        <v>19</v>
      </c>
      <c r="H245">
        <v>4</v>
      </c>
    </row>
    <row r="246">
      <c r="A246">
        <f>ROW(A246)-1</f>
        <v>245</v>
      </c>
      <c r="B246">
        <v>7</v>
      </c>
      <c r="C246" t="str" cm="1">
        <f t="array" ref="C246">GetValue("Eng","Name",B246)</f>
        <v>SQL Anywhere</v>
      </c>
      <c r="D246">
        <v>17</v>
      </c>
      <c r="E246" t="str" cm="1">
        <f t="array" ref="E246">GetValue("Typ","Name",D246)</f>
        <v>nchar(n)</v>
      </c>
      <c r="F246" t="str">
        <v>CHAR</v>
      </c>
    </row>
    <row r="247">
      <c r="A247">
        <f>ROW(A247)-1</f>
        <v>246</v>
      </c>
      <c r="B247">
        <v>7</v>
      </c>
      <c r="C247" t="str" cm="1">
        <f t="array" ref="C247">GetValue("Eng","Name",B247)</f>
        <v>SQL Anywhere</v>
      </c>
      <c r="D247">
        <v>18</v>
      </c>
      <c r="E247" t="str" cm="1">
        <f t="array" ref="E247">GetValue("Typ","Name",D247)</f>
        <v>ntext</v>
      </c>
      <c r="F247" t="str">
        <v>LONG VARCHAR</v>
      </c>
    </row>
    <row r="248">
      <c r="A248">
        <f>ROW(A248)-1</f>
        <v>247</v>
      </c>
      <c r="B248">
        <v>7</v>
      </c>
      <c r="C248" t="str" cm="1">
        <f t="array" ref="C248">GetValue("Eng","Name",B248)</f>
        <v>SQL Anywhere</v>
      </c>
      <c r="D248">
        <v>19</v>
      </c>
      <c r="E248" t="str" cm="1">
        <f t="array" ref="E248">GetValue("Typ","Name",D248)</f>
        <v>numeric(p,s)</v>
      </c>
      <c r="F248" t="str">
        <v>NUMERIC</v>
      </c>
    </row>
    <row r="249">
      <c r="A249">
        <f>ROW(A249)-1</f>
        <v>248</v>
      </c>
      <c r="B249">
        <v>7</v>
      </c>
      <c r="C249" t="str" cm="1">
        <f t="array" ref="C249">GetValue("Eng","Name",B249)</f>
        <v>SQL Anywhere</v>
      </c>
      <c r="D249">
        <v>20</v>
      </c>
      <c r="E249" t="str" cm="1">
        <f t="array" ref="E249">GetValue("Typ","Name",D249)</f>
        <v>nvarchar(n)</v>
      </c>
      <c r="F249" t="str">
        <v>VARCHAR</v>
      </c>
    </row>
    <row r="250">
      <c r="A250">
        <f>ROW(A250)-1</f>
        <v>249</v>
      </c>
      <c r="B250">
        <v>7</v>
      </c>
      <c r="C250" t="str" cm="1">
        <f t="array" ref="C250">GetValue("Eng","Name",B250)</f>
        <v>SQL Anywhere</v>
      </c>
      <c r="D250">
        <v>21</v>
      </c>
      <c r="E250" t="str" cm="1">
        <f t="array" ref="E250">GetValue("Typ","Name",D250)</f>
        <v>nvarchar(max)</v>
      </c>
      <c r="F250" t="str">
        <v>LONG VARCHAR</v>
      </c>
    </row>
    <row r="251">
      <c r="A251">
        <f>ROW(A251)-1</f>
        <v>250</v>
      </c>
      <c r="B251">
        <v>7</v>
      </c>
      <c r="C251" t="str" cm="1">
        <f t="array" ref="C251">GetValue("Eng","Name",B251)</f>
        <v>SQL Anywhere</v>
      </c>
      <c r="D251">
        <v>22</v>
      </c>
      <c r="E251" t="str" cm="1">
        <f t="array" ref="E251">GetValue("Typ","Name",D251)</f>
        <v>real</v>
      </c>
      <c r="F251" t="str">
        <v>FLOAT</v>
      </c>
    </row>
    <row r="252">
      <c r="A252">
        <f>ROW(A252)-1</f>
        <v>251</v>
      </c>
      <c r="B252">
        <v>7</v>
      </c>
      <c r="C252" t="str" cm="1">
        <f t="array" ref="C252">GetValue("Eng","Name",B252)</f>
        <v>SQL Anywhere</v>
      </c>
      <c r="D252">
        <v>23</v>
      </c>
      <c r="E252" t="str" cm="1">
        <f t="array" ref="E252">GetValue("Typ","Name",D252)</f>
        <v>smalldatetime</v>
      </c>
      <c r="F252" t="str">
        <v>TIMESTAMP</v>
      </c>
    </row>
    <row r="253">
      <c r="A253">
        <f>ROW(A253)-1</f>
        <v>252</v>
      </c>
      <c r="B253">
        <v>7</v>
      </c>
      <c r="C253" t="str" cm="1">
        <f t="array" ref="C253">GetValue("Eng","Name",B253)</f>
        <v>SQL Anywhere</v>
      </c>
      <c r="D253">
        <v>24</v>
      </c>
      <c r="E253" t="str" cm="1">
        <f t="array" ref="E253">GetValue("Typ","Name",D253)</f>
        <v>smallint (2 bytes)</v>
      </c>
      <c r="F253" t="str">
        <v>SMALLINT</v>
      </c>
    </row>
    <row r="254">
      <c r="A254">
        <f>ROW(A254)-1</f>
        <v>253</v>
      </c>
      <c r="B254">
        <v>7</v>
      </c>
      <c r="C254" t="str" cm="1">
        <f t="array" ref="C254">GetValue("Eng","Name",B254)</f>
        <v>SQL Anywhere</v>
      </c>
      <c r="D254">
        <v>25</v>
      </c>
      <c r="E254" t="str" cm="1">
        <f t="array" ref="E254">GetValue("Typ","Name",D254)</f>
        <v>smallmoney</v>
      </c>
      <c r="F254" t="str">
        <v>DECIMAL</v>
      </c>
      <c r="G254">
        <v>10</v>
      </c>
      <c r="H254">
        <v>4</v>
      </c>
    </row>
    <row r="255">
      <c r="A255">
        <f>ROW(A255)-1</f>
        <v>254</v>
      </c>
      <c r="B255">
        <v>7</v>
      </c>
      <c r="C255" t="str" cm="1">
        <f t="array" ref="C255">GetValue("Eng","Name",B255)</f>
        <v>SQL Anywhere</v>
      </c>
      <c r="D255">
        <v>26</v>
      </c>
      <c r="E255" t="str" cm="1">
        <f t="array" ref="E255">GetValue("Typ","Name",D255)</f>
        <v>sql_variant</v>
      </c>
      <c r="F255" t="str">
        <v>LONG VARCHAR</v>
      </c>
    </row>
    <row r="256">
      <c r="A256">
        <f>ROW(A256)-1</f>
        <v>255</v>
      </c>
      <c r="B256">
        <v>7</v>
      </c>
      <c r="C256" t="str" cm="1">
        <f t="array" ref="C256">GetValue("Eng","Name",B256)</f>
        <v>SQL Anywhere</v>
      </c>
      <c r="D256">
        <v>27</v>
      </c>
      <c r="E256" t="str" cm="1">
        <f t="array" ref="E256">GetValue("Typ","Name",D256)</f>
        <v>sysname</v>
      </c>
      <c r="F256" t="str">
        <v>VARCHAR</v>
      </c>
      <c r="G256">
        <v>128</v>
      </c>
    </row>
    <row r="257">
      <c r="A257">
        <f>ROW(A257)-1</f>
        <v>256</v>
      </c>
      <c r="B257">
        <v>7</v>
      </c>
      <c r="C257" t="str" cm="1">
        <f t="array" ref="C257">GetValue("Eng","Name",B257)</f>
        <v>SQL Anywhere</v>
      </c>
      <c r="D257">
        <v>28</v>
      </c>
      <c r="E257" t="str" cm="1">
        <f t="array" ref="E257">GetValue("Typ","Name",D257)</f>
        <v>text</v>
      </c>
      <c r="F257" t="str">
        <v>LONG VARCHAR</v>
      </c>
    </row>
    <row r="258">
      <c r="A258">
        <f>ROW(A258)-1</f>
        <v>257</v>
      </c>
      <c r="B258">
        <v>7</v>
      </c>
      <c r="C258" t="str" cm="1">
        <f t="array" ref="C258">GetValue("Eng","Name",B258)</f>
        <v>SQL Anywhere</v>
      </c>
      <c r="D258">
        <v>29</v>
      </c>
      <c r="E258" t="str" cm="1">
        <f t="array" ref="E258">GetValue("Typ","Name",D258)</f>
        <v>time(s)</v>
      </c>
      <c r="F258" t="str">
        <v>TIME</v>
      </c>
    </row>
    <row r="259">
      <c r="A259">
        <f>ROW(A259)-1</f>
        <v>258</v>
      </c>
      <c r="B259">
        <v>7</v>
      </c>
      <c r="C259" t="str" cm="1">
        <f t="array" ref="C259">GetValue("Eng","Name",B259)</f>
        <v>SQL Anywhere</v>
      </c>
      <c r="D259">
        <v>30</v>
      </c>
      <c r="E259" t="str" cm="1">
        <f t="array" ref="E259">GetValue("Typ","Name",D259)</f>
        <v>timestamp</v>
      </c>
      <c r="F259" t="str">
        <v>TIMESTAMP</v>
      </c>
    </row>
    <row r="260">
      <c r="A260">
        <f>ROW(A260)-1</f>
        <v>259</v>
      </c>
      <c r="B260">
        <v>7</v>
      </c>
      <c r="C260" t="str" cm="1">
        <f t="array" ref="C260">GetValue("Eng","Name",B260)</f>
        <v>SQL Anywhere</v>
      </c>
      <c r="D260">
        <v>31</v>
      </c>
      <c r="E260" t="str" cm="1">
        <f t="array" ref="E260">GetValue("Typ","Name",D260)</f>
        <v>tinyint (1 byte)</v>
      </c>
      <c r="F260" t="str">
        <v>SMALLINT</v>
      </c>
    </row>
    <row r="261">
      <c r="A261">
        <f>ROW(A261)-1</f>
        <v>260</v>
      </c>
      <c r="B261">
        <v>7</v>
      </c>
      <c r="C261" t="str" cm="1">
        <f t="array" ref="C261">GetValue("Eng","Name",B261)</f>
        <v>SQL Anywhere</v>
      </c>
      <c r="D261">
        <v>32</v>
      </c>
      <c r="E261" t="str" cm="1">
        <f t="array" ref="E261">GetValue("Typ","Name",D261)</f>
        <v>uniqueidentifier</v>
      </c>
      <c r="F261" t="str">
        <v>CHAR</v>
      </c>
      <c r="G261">
        <v>38</v>
      </c>
    </row>
    <row r="262">
      <c r="A262">
        <f>ROW(A262)-1</f>
        <v>261</v>
      </c>
      <c r="B262">
        <v>7</v>
      </c>
      <c r="C262" t="str" cm="1">
        <f t="array" ref="C262">GetValue("Eng","Name",B262)</f>
        <v>SQL Anywhere</v>
      </c>
      <c r="D262">
        <v>33</v>
      </c>
      <c r="E262" t="str" cm="1">
        <f t="array" ref="E262">GetValue("Typ","Name",D262)</f>
        <v>varbinary(n)</v>
      </c>
      <c r="F262" t="str">
        <v>LONG BINARY</v>
      </c>
    </row>
    <row r="263">
      <c r="A263">
        <f>ROW(A263)-1</f>
        <v>262</v>
      </c>
      <c r="B263">
        <v>7</v>
      </c>
      <c r="C263" t="str" cm="1">
        <f t="array" ref="C263">GetValue("Eng","Name",B263)</f>
        <v>SQL Anywhere</v>
      </c>
      <c r="D263">
        <v>34</v>
      </c>
      <c r="E263" t="str" cm="1">
        <f t="array" ref="E263">GetValue("Typ","Name",D263)</f>
        <v>varbinary(max)</v>
      </c>
      <c r="F263" t="str">
        <v>BLOB</v>
      </c>
    </row>
    <row r="264">
      <c r="A264">
        <f>ROW(A264)-1</f>
        <v>263</v>
      </c>
      <c r="B264">
        <v>7</v>
      </c>
      <c r="C264" t="str" cm="1">
        <f t="array" ref="C264">GetValue("Eng","Name",B264)</f>
        <v>SQL Anywhere</v>
      </c>
      <c r="D264">
        <v>35</v>
      </c>
      <c r="E264" t="str" cm="1">
        <f t="array" ref="E264">GetValue("Typ","Name",D264)</f>
        <v>varchar(n)</v>
      </c>
      <c r="F264" t="str">
        <v>VARCHAR</v>
      </c>
    </row>
    <row r="265">
      <c r="A265">
        <f>ROW(A265)-1</f>
        <v>264</v>
      </c>
      <c r="B265">
        <v>7</v>
      </c>
      <c r="C265" t="str" cm="1">
        <f t="array" ref="C265">GetValue("Eng","Name",B265)</f>
        <v>SQL Anywhere</v>
      </c>
      <c r="D265">
        <v>36</v>
      </c>
      <c r="E265" t="str" cm="1">
        <f t="array" ref="E265">GetValue("Typ","Name",D265)</f>
        <v>varchar(max)</v>
      </c>
      <c r="F265" t="str">
        <v>LONG VARCHAR</v>
      </c>
    </row>
    <row r="266">
      <c r="A266">
        <f>ROW(A266)-1</f>
        <v>265</v>
      </c>
      <c r="B266">
        <v>7</v>
      </c>
      <c r="C266" t="str" cm="1">
        <f t="array" ref="C266">GetValue("Eng","Name",B266)</f>
        <v>SQL Anywhere</v>
      </c>
      <c r="D266">
        <v>37</v>
      </c>
      <c r="E266" t="str" cm="1">
        <f t="array" ref="E266">GetValue("Typ","Name",D266)</f>
        <v>xml</v>
      </c>
      <c r="F266" t="str">
        <v>LONG VARCHAR</v>
      </c>
    </row>
    <row r="267">
      <c r="A267">
        <f>ROW(A267)-1</f>
        <v>266</v>
      </c>
      <c r="B267">
        <v>7</v>
      </c>
      <c r="C267" t="str" cm="1">
        <f t="array" ref="C267">GetValue("Eng","Name",B267)</f>
        <v>SQL Anywhere</v>
      </c>
      <c r="D267">
        <v>38</v>
      </c>
      <c r="E267" t="str" cm="1">
        <f t="array" ref="E267">GetValue("Typ","Name",D267)</f>
        <v>json</v>
      </c>
      <c r="F267" t="str">
        <v>LONG VARCHAR</v>
      </c>
    </row>
    <row r="268">
      <c r="A268">
        <f>ROW(A268)-1</f>
        <v>267</v>
      </c>
      <c r="B268">
        <v>8</v>
      </c>
      <c r="C268" t="str" cm="1">
        <f t="array" ref="C268">GetValue("Eng","Name",B268)</f>
        <v>Informix</v>
      </c>
      <c r="D268">
        <v>1</v>
      </c>
      <c r="E268" t="str" cm="1">
        <f t="array" ref="E268">GetValue("Typ","Name",D268)</f>
        <v>bigint (8 bytes)</v>
      </c>
      <c r="F268" t="str">
        <v>INT8</v>
      </c>
    </row>
    <row r="269">
      <c r="A269">
        <f>ROW(A269)-1</f>
        <v>268</v>
      </c>
      <c r="B269">
        <v>8</v>
      </c>
      <c r="C269" t="str" cm="1">
        <f t="array" ref="C269">GetValue("Eng","Name",B269)</f>
        <v>Informix</v>
      </c>
      <c r="D269">
        <v>2</v>
      </c>
      <c r="E269" t="str" cm="1">
        <f t="array" ref="E269">GetValue("Typ","Name",D269)</f>
        <v>binary</v>
      </c>
      <c r="F269" t="str">
        <v>BYTE</v>
      </c>
    </row>
    <row r="270">
      <c r="A270">
        <f>ROW(A270)-1</f>
        <v>269</v>
      </c>
      <c r="B270">
        <v>8</v>
      </c>
      <c r="C270" t="str" cm="1">
        <f t="array" ref="C270">GetValue("Eng","Name",B270)</f>
        <v>Informix</v>
      </c>
      <c r="D270">
        <v>3</v>
      </c>
      <c r="E270" t="str" cm="1">
        <f t="array" ref="E270">GetValue("Typ","Name",D270)</f>
        <v>bit (1 bit)</v>
      </c>
      <c r="F270" t="str">
        <v>BOOLEAN</v>
      </c>
    </row>
    <row r="271">
      <c r="A271">
        <f>ROW(A271)-1</f>
        <v>270</v>
      </c>
      <c r="B271">
        <v>8</v>
      </c>
      <c r="C271" t="str" cm="1">
        <f t="array" ref="C271">GetValue("Eng","Name",B271)</f>
        <v>Informix</v>
      </c>
      <c r="D271">
        <v>4</v>
      </c>
      <c r="E271" t="str" cm="1">
        <f t="array" ref="E271">GetValue("Typ","Name",D271)</f>
        <v>char(n)</v>
      </c>
      <c r="F271" t="str">
        <v>CHAR</v>
      </c>
    </row>
    <row r="272">
      <c r="A272">
        <f>ROW(A272)-1</f>
        <v>271</v>
      </c>
      <c r="B272">
        <v>8</v>
      </c>
      <c r="C272" t="str" cm="1">
        <f t="array" ref="C272">GetValue("Eng","Name",B272)</f>
        <v>Informix</v>
      </c>
      <c r="D272">
        <v>5</v>
      </c>
      <c r="E272" t="str" cm="1">
        <f t="array" ref="E272">GetValue("Typ","Name",D272)</f>
        <v>date</v>
      </c>
      <c r="F272" t="str">
        <v>DATE</v>
      </c>
    </row>
    <row r="273">
      <c r="A273">
        <f>ROW(A273)-1</f>
        <v>272</v>
      </c>
      <c r="B273">
        <v>8</v>
      </c>
      <c r="C273" t="str" cm="1">
        <f t="array" ref="C273">GetValue("Eng","Name",B273)</f>
        <v>Informix</v>
      </c>
      <c r="D273">
        <v>6</v>
      </c>
      <c r="E273" t="str" cm="1">
        <f t="array" ref="E273">GetValue("Typ","Name",D273)</f>
        <v>datetime</v>
      </c>
      <c r="F273" t="str">
        <v>DATETIME YEAR TO SECOND</v>
      </c>
    </row>
    <row r="274">
      <c r="A274">
        <f>ROW(A274)-1</f>
        <v>273</v>
      </c>
      <c r="B274">
        <v>8</v>
      </c>
      <c r="C274" t="str" cm="1">
        <f t="array" ref="C274">GetValue("Eng","Name",B274)</f>
        <v>Informix</v>
      </c>
      <c r="D274">
        <v>7</v>
      </c>
      <c r="E274" t="str" cm="1">
        <f t="array" ref="E274">GetValue("Typ","Name",D274)</f>
        <v>datetime2(s)</v>
      </c>
      <c r="F274" t="str">
        <v>DATETIME YEAR TO FRACTION</v>
      </c>
      <c r="G274">
        <v>6</v>
      </c>
    </row>
    <row r="275">
      <c r="A275">
        <f>ROW(A275)-1</f>
        <v>274</v>
      </c>
      <c r="B275">
        <v>8</v>
      </c>
      <c r="C275" t="str" cm="1">
        <f t="array" ref="C275">GetValue("Eng","Name",B275)</f>
        <v>Informix</v>
      </c>
      <c r="D275">
        <v>8</v>
      </c>
      <c r="E275" t="str" cm="1">
        <f t="array" ref="E275">GetValue("Typ","Name",D275)</f>
        <v>datetimeoffset(s)</v>
      </c>
      <c r="F275" t="str">
        <v>DATETIME YEAR TO FRACTION WITH TIME ZONE</v>
      </c>
    </row>
    <row r="276">
      <c r="A276">
        <f>ROW(A276)-1</f>
        <v>275</v>
      </c>
      <c r="B276">
        <v>8</v>
      </c>
      <c r="C276" t="str" cm="1">
        <f t="array" ref="C276">GetValue("Eng","Name",B276)</f>
        <v>Informix</v>
      </c>
      <c r="D276">
        <v>9</v>
      </c>
      <c r="E276" t="str" cm="1">
        <f t="array" ref="E276">GetValue("Typ","Name",D276)</f>
        <v>decimal(p ,s)</v>
      </c>
      <c r="F276" t="str">
        <v>DECIMAL</v>
      </c>
    </row>
    <row r="277">
      <c r="A277">
        <f>ROW(A277)-1</f>
        <v>276</v>
      </c>
      <c r="B277">
        <v>8</v>
      </c>
      <c r="C277" t="str" cm="1">
        <f t="array" ref="C277">GetValue("Eng","Name",B277)</f>
        <v>Informix</v>
      </c>
      <c r="D277">
        <v>10</v>
      </c>
      <c r="E277" t="str" cm="1">
        <f t="array" ref="E277">GetValue("Typ","Name",D277)</f>
        <v>float(n)</v>
      </c>
      <c r="F277" t="str">
        <v>FLOAT</v>
      </c>
    </row>
    <row r="278">
      <c r="A278">
        <f>ROW(A278)-1</f>
        <v>277</v>
      </c>
      <c r="B278">
        <v>8</v>
      </c>
      <c r="C278" t="str" cm="1">
        <f t="array" ref="C278">GetValue("Eng","Name",B278)</f>
        <v>Informix</v>
      </c>
      <c r="D278">
        <v>11</v>
      </c>
      <c r="E278" t="str" cm="1">
        <f t="array" ref="E278">GetValue("Typ","Name",D278)</f>
        <v>geography</v>
      </c>
    </row>
    <row r="279">
      <c r="A279">
        <f>ROW(A279)-1</f>
        <v>278</v>
      </c>
      <c r="B279">
        <v>8</v>
      </c>
      <c r="C279" t="str" cm="1">
        <f t="array" ref="C279">GetValue("Eng","Name",B279)</f>
        <v>Informix</v>
      </c>
      <c r="D279">
        <v>12</v>
      </c>
      <c r="E279" t="str" cm="1">
        <f t="array" ref="E279">GetValue("Typ","Name",D279)</f>
        <v>geometry</v>
      </c>
    </row>
    <row r="280">
      <c r="A280">
        <f>ROW(A280)-1</f>
        <v>279</v>
      </c>
      <c r="B280">
        <v>8</v>
      </c>
      <c r="C280" t="str" cm="1">
        <f t="array" ref="C280">GetValue("Eng","Name",B280)</f>
        <v>Informix</v>
      </c>
      <c r="D280">
        <v>13</v>
      </c>
      <c r="E280" t="str" cm="1">
        <f t="array" ref="E280">GetValue("Typ","Name",D280)</f>
        <v>hierarchyid</v>
      </c>
    </row>
    <row r="281">
      <c r="A281">
        <f>ROW(A281)-1</f>
        <v>280</v>
      </c>
      <c r="B281">
        <v>8</v>
      </c>
      <c r="C281" t="str" cm="1">
        <f t="array" ref="C281">GetValue("Eng","Name",B281)</f>
        <v>Informix</v>
      </c>
      <c r="D281">
        <v>14</v>
      </c>
      <c r="E281" t="str" cm="1">
        <f t="array" ref="E281">GetValue("Typ","Name",D281)</f>
        <v>image</v>
      </c>
      <c r="F281" t="str">
        <v>BYTE</v>
      </c>
    </row>
    <row r="282">
      <c r="A282">
        <f>ROW(A282)-1</f>
        <v>281</v>
      </c>
      <c r="B282">
        <v>8</v>
      </c>
      <c r="C282" t="str" cm="1">
        <f t="array" ref="C282">GetValue("Eng","Name",B282)</f>
        <v>Informix</v>
      </c>
      <c r="D282">
        <v>15</v>
      </c>
      <c r="E282" t="str" cm="1">
        <f t="array" ref="E282">GetValue("Typ","Name",D282)</f>
        <v>int (4 bytes)</v>
      </c>
      <c r="F282" t="str">
        <v>INTEGER</v>
      </c>
    </row>
    <row r="283">
      <c r="A283">
        <f>ROW(A283)-1</f>
        <v>282</v>
      </c>
      <c r="B283">
        <v>8</v>
      </c>
      <c r="C283" t="str" cm="1">
        <f t="array" ref="C283">GetValue("Eng","Name",B283)</f>
        <v>Informix</v>
      </c>
      <c r="D283">
        <v>16</v>
      </c>
      <c r="E283" t="str" cm="1">
        <f t="array" ref="E283">GetValue("Typ","Name",D283)</f>
        <v>money</v>
      </c>
      <c r="F283" t="str">
        <v>DECIMAL</v>
      </c>
      <c r="G283">
        <v>19</v>
      </c>
      <c r="H283">
        <v>4</v>
      </c>
    </row>
    <row r="284">
      <c r="A284">
        <f>ROW(A284)-1</f>
        <v>283</v>
      </c>
      <c r="B284">
        <v>8</v>
      </c>
      <c r="C284" t="str" cm="1">
        <f t="array" ref="C284">GetValue("Eng","Name",B284)</f>
        <v>Informix</v>
      </c>
      <c r="D284">
        <v>17</v>
      </c>
      <c r="E284" t="str" cm="1">
        <f t="array" ref="E284">GetValue("Typ","Name",D284)</f>
        <v>nchar(n)</v>
      </c>
      <c r="F284" t="str">
        <v>NCHAR</v>
      </c>
    </row>
    <row r="285">
      <c r="A285">
        <f>ROW(A285)-1</f>
        <v>284</v>
      </c>
      <c r="B285">
        <v>8</v>
      </c>
      <c r="C285" t="str" cm="1">
        <f t="array" ref="C285">GetValue("Eng","Name",B285)</f>
        <v>Informix</v>
      </c>
      <c r="D285">
        <v>18</v>
      </c>
      <c r="E285" t="str" cm="1">
        <f t="array" ref="E285">GetValue("Typ","Name",D285)</f>
        <v>ntext</v>
      </c>
      <c r="F285" t="str">
        <v>TEXT</v>
      </c>
    </row>
    <row r="286">
      <c r="A286">
        <f>ROW(A286)-1</f>
        <v>285</v>
      </c>
      <c r="B286">
        <v>8</v>
      </c>
      <c r="C286" t="str" cm="1">
        <f t="array" ref="C286">GetValue("Eng","Name",B286)</f>
        <v>Informix</v>
      </c>
      <c r="D286">
        <v>19</v>
      </c>
      <c r="E286" t="str" cm="1">
        <f t="array" ref="E286">GetValue("Typ","Name",D286)</f>
        <v>numeric(p,s)</v>
      </c>
      <c r="F286" t="str">
        <v>DECIMAL</v>
      </c>
    </row>
    <row r="287">
      <c r="A287">
        <f>ROW(A287)-1</f>
        <v>286</v>
      </c>
      <c r="B287">
        <v>8</v>
      </c>
      <c r="C287" t="str" cm="1">
        <f t="array" ref="C287">GetValue("Eng","Name",B287)</f>
        <v>Informix</v>
      </c>
      <c r="D287">
        <v>20</v>
      </c>
      <c r="E287" t="str" cm="1">
        <f t="array" ref="E287">GetValue("Typ","Name",D287)</f>
        <v>nvarchar(n)</v>
      </c>
      <c r="F287" t="str">
        <v>NVARCHAR</v>
      </c>
    </row>
    <row r="288">
      <c r="A288">
        <f>ROW(A288)-1</f>
        <v>287</v>
      </c>
      <c r="B288">
        <v>8</v>
      </c>
      <c r="C288" t="str" cm="1">
        <f t="array" ref="C288">GetValue("Eng","Name",B288)</f>
        <v>Informix</v>
      </c>
      <c r="D288">
        <v>21</v>
      </c>
      <c r="E288" t="str" cm="1">
        <f t="array" ref="E288">GetValue("Typ","Name",D288)</f>
        <v>nvarchar(max)</v>
      </c>
      <c r="F288" t="str">
        <v>TEXT</v>
      </c>
    </row>
    <row r="289">
      <c r="A289">
        <f>ROW(A289)-1</f>
        <v>288</v>
      </c>
      <c r="B289">
        <v>8</v>
      </c>
      <c r="C289" t="str" cm="1">
        <f t="array" ref="C289">GetValue("Eng","Name",B289)</f>
        <v>Informix</v>
      </c>
      <c r="D289">
        <v>22</v>
      </c>
      <c r="E289" t="str" cm="1">
        <f t="array" ref="E289">GetValue("Typ","Name",D289)</f>
        <v>real</v>
      </c>
      <c r="F289" t="str">
        <v>FLOAT</v>
      </c>
    </row>
    <row r="290">
      <c r="A290">
        <f>ROW(A290)-1</f>
        <v>289</v>
      </c>
      <c r="B290">
        <v>8</v>
      </c>
      <c r="C290" t="str" cm="1">
        <f t="array" ref="C290">GetValue("Eng","Name",B290)</f>
        <v>Informix</v>
      </c>
      <c r="D290">
        <v>23</v>
      </c>
      <c r="E290" t="str" cm="1">
        <f t="array" ref="E290">GetValue("Typ","Name",D290)</f>
        <v>smalldatetime</v>
      </c>
      <c r="F290" t="str">
        <v>DATETIME YEAR TO SECOND</v>
      </c>
    </row>
    <row r="291">
      <c r="A291">
        <f>ROW(A291)-1</f>
        <v>290</v>
      </c>
      <c r="B291">
        <v>8</v>
      </c>
      <c r="C291" t="str" cm="1">
        <f t="array" ref="C291">GetValue("Eng","Name",B291)</f>
        <v>Informix</v>
      </c>
      <c r="D291">
        <v>24</v>
      </c>
      <c r="E291" t="str" cm="1">
        <f t="array" ref="E291">GetValue("Typ","Name",D291)</f>
        <v>smallint (2 bytes)</v>
      </c>
      <c r="F291" t="str">
        <v>SMALLINT</v>
      </c>
    </row>
    <row r="292">
      <c r="A292">
        <f>ROW(A292)-1</f>
        <v>291</v>
      </c>
      <c r="B292">
        <v>8</v>
      </c>
      <c r="C292" t="str" cm="1">
        <f t="array" ref="C292">GetValue("Eng","Name",B292)</f>
        <v>Informix</v>
      </c>
      <c r="D292">
        <v>25</v>
      </c>
      <c r="E292" t="str" cm="1">
        <f t="array" ref="E292">GetValue("Typ","Name",D292)</f>
        <v>smallmoney</v>
      </c>
      <c r="F292" t="str">
        <v>DECIMAL</v>
      </c>
      <c r="G292">
        <v>10</v>
      </c>
      <c r="H292">
        <v>4</v>
      </c>
    </row>
    <row r="293">
      <c r="A293">
        <f>ROW(A293)-1</f>
        <v>292</v>
      </c>
      <c r="B293">
        <v>8</v>
      </c>
      <c r="C293" t="str" cm="1">
        <f t="array" ref="C293">GetValue("Eng","Name",B293)</f>
        <v>Informix</v>
      </c>
      <c r="D293">
        <v>26</v>
      </c>
      <c r="E293" t="str" cm="1">
        <f t="array" ref="E293">GetValue("Typ","Name",D293)</f>
        <v>sql_variant</v>
      </c>
      <c r="F293" t="str">
        <v>LVARCHAR</v>
      </c>
    </row>
    <row r="294">
      <c r="A294">
        <f>ROW(A294)-1</f>
        <v>293</v>
      </c>
      <c r="B294">
        <v>8</v>
      </c>
      <c r="C294" t="str" cm="1">
        <f t="array" ref="C294">GetValue("Eng","Name",B294)</f>
        <v>Informix</v>
      </c>
      <c r="D294">
        <v>27</v>
      </c>
      <c r="E294" t="str" cm="1">
        <f t="array" ref="E294">GetValue("Typ","Name",D294)</f>
        <v>sysname</v>
      </c>
      <c r="F294" t="str">
        <v>LVARCHAR</v>
      </c>
      <c r="G294">
        <v>128</v>
      </c>
    </row>
    <row r="295">
      <c r="A295">
        <f>ROW(A295)-1</f>
        <v>294</v>
      </c>
      <c r="B295">
        <v>8</v>
      </c>
      <c r="C295" t="str" cm="1">
        <f t="array" ref="C295">GetValue("Eng","Name",B295)</f>
        <v>Informix</v>
      </c>
      <c r="D295">
        <v>28</v>
      </c>
      <c r="E295" t="str" cm="1">
        <f t="array" ref="E295">GetValue("Typ","Name",D295)</f>
        <v>text</v>
      </c>
      <c r="F295" t="str">
        <v>TEXT</v>
      </c>
    </row>
    <row r="296">
      <c r="A296">
        <f>ROW(A296)-1</f>
        <v>295</v>
      </c>
      <c r="B296">
        <v>8</v>
      </c>
      <c r="C296" t="str" cm="1">
        <f t="array" ref="C296">GetValue("Eng","Name",B296)</f>
        <v>Informix</v>
      </c>
      <c r="D296">
        <v>29</v>
      </c>
      <c r="E296" t="str" cm="1">
        <f t="array" ref="E296">GetValue("Typ","Name",D296)</f>
        <v>time(s)</v>
      </c>
      <c r="F296" t="str">
        <v>DATETIME HOUR TO SECOND</v>
      </c>
    </row>
    <row r="297">
      <c r="A297">
        <f>ROW(A297)-1</f>
        <v>296</v>
      </c>
      <c r="B297">
        <v>8</v>
      </c>
      <c r="C297" t="str" cm="1">
        <f t="array" ref="C297">GetValue("Eng","Name",B297)</f>
        <v>Informix</v>
      </c>
      <c r="D297">
        <v>30</v>
      </c>
      <c r="E297" t="str" cm="1">
        <f t="array" ref="E297">GetValue("Typ","Name",D297)</f>
        <v>timestamp</v>
      </c>
      <c r="F297" t="str">
        <v>DATETIME YEAR TO FRACTION</v>
      </c>
    </row>
    <row r="298">
      <c r="A298">
        <f>ROW(A298)-1</f>
        <v>297</v>
      </c>
      <c r="B298">
        <v>8</v>
      </c>
      <c r="C298" t="str" cm="1">
        <f t="array" ref="C298">GetValue("Eng","Name",B298)</f>
        <v>Informix</v>
      </c>
      <c r="D298">
        <v>31</v>
      </c>
      <c r="E298" t="str" cm="1">
        <f t="array" ref="E298">GetValue("Typ","Name",D298)</f>
        <v>tinyint (1 byte)</v>
      </c>
      <c r="F298" t="str">
        <v>SMALLINT</v>
      </c>
    </row>
    <row r="299">
      <c r="A299">
        <f>ROW(A299)-1</f>
        <v>298</v>
      </c>
      <c r="B299">
        <v>8</v>
      </c>
      <c r="C299" t="str" cm="1">
        <f t="array" ref="C299">GetValue("Eng","Name",B299)</f>
        <v>Informix</v>
      </c>
      <c r="D299">
        <v>32</v>
      </c>
      <c r="E299" t="str" cm="1">
        <f t="array" ref="E299">GetValue("Typ","Name",D299)</f>
        <v>uniqueidentifier</v>
      </c>
      <c r="F299" t="str">
        <v>CHAR</v>
      </c>
      <c r="G299">
        <v>36</v>
      </c>
    </row>
    <row r="300">
      <c r="A300">
        <f>ROW(A300)-1</f>
        <v>299</v>
      </c>
      <c r="B300">
        <v>8</v>
      </c>
      <c r="C300" t="str" cm="1">
        <f t="array" ref="C300">GetValue("Eng","Name",B300)</f>
        <v>Informix</v>
      </c>
      <c r="D300">
        <v>33</v>
      </c>
      <c r="E300" t="str" cm="1">
        <f t="array" ref="E300">GetValue("Typ","Name",D300)</f>
        <v>varbinary(n)</v>
      </c>
      <c r="F300" t="str">
        <v>BYTE</v>
      </c>
    </row>
    <row r="301">
      <c r="A301">
        <f>ROW(A301)-1</f>
        <v>300</v>
      </c>
      <c r="B301">
        <v>8</v>
      </c>
      <c r="C301" t="str" cm="1">
        <f t="array" ref="C301">GetValue("Eng","Name",B301)</f>
        <v>Informix</v>
      </c>
      <c r="D301">
        <v>34</v>
      </c>
      <c r="E301" t="str" cm="1">
        <f t="array" ref="E301">GetValue("Typ","Name",D301)</f>
        <v>varbinary(max)</v>
      </c>
      <c r="F301" t="str">
        <v>BYTE</v>
      </c>
    </row>
    <row r="302">
      <c r="A302">
        <f>ROW(A302)-1</f>
        <v>301</v>
      </c>
      <c r="B302">
        <v>8</v>
      </c>
      <c r="C302" t="str" cm="1">
        <f t="array" ref="C302">GetValue("Eng","Name",B302)</f>
        <v>Informix</v>
      </c>
      <c r="D302">
        <v>35</v>
      </c>
      <c r="E302" t="str" cm="1">
        <f t="array" ref="E302">GetValue("Typ","Name",D302)</f>
        <v>varchar(n)</v>
      </c>
      <c r="F302" t="str">
        <v>VARCHAR</v>
      </c>
    </row>
    <row r="303">
      <c r="A303">
        <f>ROW(A303)-1</f>
        <v>302</v>
      </c>
      <c r="B303">
        <v>8</v>
      </c>
      <c r="C303" t="str" cm="1">
        <f t="array" ref="C303">GetValue("Eng","Name",B303)</f>
        <v>Informix</v>
      </c>
      <c r="D303">
        <v>36</v>
      </c>
      <c r="E303" t="str" cm="1">
        <f t="array" ref="E303">GetValue("Typ","Name",D303)</f>
        <v>varchar(max)</v>
      </c>
      <c r="F303" t="str">
        <v>TEXT</v>
      </c>
    </row>
    <row r="304">
      <c r="A304">
        <f>ROW(A304)-1</f>
        <v>303</v>
      </c>
      <c r="B304">
        <v>8</v>
      </c>
      <c r="C304" t="str" cm="1">
        <f t="array" ref="C304">GetValue("Eng","Name",B304)</f>
        <v>Informix</v>
      </c>
      <c r="D304">
        <v>37</v>
      </c>
      <c r="E304" t="str" cm="1">
        <f t="array" ref="E304">GetValue("Typ","Name",D304)</f>
        <v>xml</v>
      </c>
      <c r="F304" t="str">
        <v>CLOB</v>
      </c>
    </row>
    <row r="305">
      <c r="A305">
        <f>ROW(A305)-1</f>
        <v>304</v>
      </c>
      <c r="B305">
        <v>8</v>
      </c>
      <c r="C305" t="str" cm="1">
        <f t="array" ref="C305">GetValue("Eng","Name",B305)</f>
        <v>Informix</v>
      </c>
      <c r="D305">
        <v>38</v>
      </c>
      <c r="E305" t="str" cm="1">
        <f t="array" ref="E305">GetValue("Typ","Name",D305)</f>
        <v>json</v>
      </c>
      <c r="F305" t="str">
        <v>JSON</v>
      </c>
    </row>
    <row r="306">
      <c r="A306">
        <f>ROW(A306)-1</f>
        <v>305</v>
      </c>
      <c r="B306">
        <v>9</v>
      </c>
      <c r="C306" t="str" cm="1">
        <f t="array" ref="C306">GetValue("Eng","Name",B306)</f>
        <v>Oracle</v>
      </c>
      <c r="D306">
        <v>1</v>
      </c>
      <c r="E306" t="str" cm="1">
        <f t="array" ref="E306">GetValue("Typ","Name",D306)</f>
        <v>bigint (8 bytes)</v>
      </c>
      <c r="F306" t="str">
        <v>NUMBER</v>
      </c>
      <c r="G306">
        <v>19</v>
      </c>
    </row>
    <row r="307">
      <c r="A307">
        <f>ROW(A307)-1</f>
        <v>306</v>
      </c>
      <c r="B307">
        <v>9</v>
      </c>
      <c r="C307" t="str" cm="1">
        <f t="array" ref="C307">GetValue("Eng","Name",B307)</f>
        <v>Oracle</v>
      </c>
      <c r="D307">
        <v>2</v>
      </c>
      <c r="E307" t="str" cm="1">
        <f t="array" ref="E307">GetValue("Typ","Name",D307)</f>
        <v>binary</v>
      </c>
      <c r="F307" t="str">
        <v>RAW</v>
      </c>
    </row>
    <row r="308">
      <c r="A308">
        <f>ROW(A308)-1</f>
        <v>307</v>
      </c>
      <c r="B308">
        <v>9</v>
      </c>
      <c r="C308" t="str" cm="1">
        <f t="array" ref="C308">GetValue("Eng","Name",B308)</f>
        <v>Oracle</v>
      </c>
      <c r="D308">
        <v>3</v>
      </c>
      <c r="E308" t="str" cm="1">
        <f t="array" ref="E308">GetValue("Typ","Name",D308)</f>
        <v>bit (1 bit)</v>
      </c>
      <c r="F308" t="str">
        <v>NUMBER</v>
      </c>
      <c r="G308">
        <v>1</v>
      </c>
    </row>
    <row r="309">
      <c r="A309">
        <f>ROW(A309)-1</f>
        <v>308</v>
      </c>
      <c r="B309">
        <v>9</v>
      </c>
      <c r="C309" t="str" cm="1">
        <f t="array" ref="C309">GetValue("Eng","Name",B309)</f>
        <v>Oracle</v>
      </c>
      <c r="D309">
        <v>4</v>
      </c>
      <c r="E309" t="str" cm="1">
        <f t="array" ref="E309">GetValue("Typ","Name",D309)</f>
        <v>char(n)</v>
      </c>
      <c r="F309" t="str">
        <v>CHAR</v>
      </c>
    </row>
    <row r="310">
      <c r="A310">
        <f>ROW(A310)-1</f>
        <v>309</v>
      </c>
      <c r="B310">
        <v>9</v>
      </c>
      <c r="C310" t="str" cm="1">
        <f t="array" ref="C310">GetValue("Eng","Name",B310)</f>
        <v>Oracle</v>
      </c>
      <c r="D310">
        <v>5</v>
      </c>
      <c r="E310" t="str" cm="1">
        <f t="array" ref="E310">GetValue("Typ","Name",D310)</f>
        <v>date</v>
      </c>
      <c r="F310" t="str">
        <v>DATE</v>
      </c>
    </row>
    <row r="311">
      <c r="A311">
        <f>ROW(A311)-1</f>
        <v>310</v>
      </c>
      <c r="B311">
        <v>9</v>
      </c>
      <c r="C311" t="str" cm="1">
        <f t="array" ref="C311">GetValue("Eng","Name",B311)</f>
        <v>Oracle</v>
      </c>
      <c r="D311">
        <v>6</v>
      </c>
      <c r="E311" t="str" cm="1">
        <f t="array" ref="E311">GetValue("Typ","Name",D311)</f>
        <v>datetime</v>
      </c>
      <c r="F311" t="str">
        <v>DATE</v>
      </c>
    </row>
    <row r="312">
      <c r="A312">
        <f>ROW(A312)-1</f>
        <v>311</v>
      </c>
      <c r="B312">
        <v>9</v>
      </c>
      <c r="C312" t="str" cm="1">
        <f t="array" ref="C312">GetValue("Eng","Name",B312)</f>
        <v>Oracle</v>
      </c>
      <c r="D312">
        <v>7</v>
      </c>
      <c r="E312" t="str" cm="1">
        <f t="array" ref="E312">GetValue("Typ","Name",D312)</f>
        <v>datetime2(s)</v>
      </c>
      <c r="F312" t="str">
        <v>TIMESTAMP</v>
      </c>
      <c r="G312">
        <v>6</v>
      </c>
    </row>
    <row r="313">
      <c r="A313">
        <f>ROW(A313)-1</f>
        <v>312</v>
      </c>
      <c r="B313">
        <v>9</v>
      </c>
      <c r="C313" t="str" cm="1">
        <f t="array" ref="C313">GetValue("Eng","Name",B313)</f>
        <v>Oracle</v>
      </c>
      <c r="D313">
        <v>8</v>
      </c>
      <c r="E313" t="str" cm="1">
        <f t="array" ref="E313">GetValue("Typ","Name",D313)</f>
        <v>datetimeoffset(s)</v>
      </c>
      <c r="F313" t="str">
        <v>TIMESTAMP WITH TIME ZONE</v>
      </c>
    </row>
    <row r="314">
      <c r="A314">
        <f>ROW(A314)-1</f>
        <v>313</v>
      </c>
      <c r="B314">
        <v>9</v>
      </c>
      <c r="C314" t="str" cm="1">
        <f t="array" ref="C314">GetValue("Eng","Name",B314)</f>
        <v>Oracle</v>
      </c>
      <c r="D314">
        <v>9</v>
      </c>
      <c r="E314" t="str" cm="1">
        <f t="array" ref="E314">GetValue("Typ","Name",D314)</f>
        <v>decimal(p ,s)</v>
      </c>
      <c r="F314" t="str">
        <v>NUMBER</v>
      </c>
    </row>
    <row r="315">
      <c r="A315">
        <f>ROW(A315)-1</f>
        <v>314</v>
      </c>
      <c r="B315">
        <v>9</v>
      </c>
      <c r="C315" t="str" cm="1">
        <f t="array" ref="C315">GetValue("Eng","Name",B315)</f>
        <v>Oracle</v>
      </c>
      <c r="D315">
        <v>10</v>
      </c>
      <c r="E315" t="str" cm="1">
        <f t="array" ref="E315">GetValue("Typ","Name",D315)</f>
        <v>float(n)</v>
      </c>
      <c r="F315" t="str">
        <v>BINARY_DOUBLE</v>
      </c>
    </row>
    <row r="316">
      <c r="A316">
        <f>ROW(A316)-1</f>
        <v>315</v>
      </c>
      <c r="B316">
        <v>9</v>
      </c>
      <c r="C316" t="str" cm="1">
        <f t="array" ref="C316">GetValue("Eng","Name",B316)</f>
        <v>Oracle</v>
      </c>
      <c r="D316">
        <v>11</v>
      </c>
      <c r="E316" t="str" cm="1">
        <f t="array" ref="E316">GetValue("Typ","Name",D316)</f>
        <v>geography</v>
      </c>
      <c r="F316" t="str">
        <v>SDO_GEOMETRY</v>
      </c>
    </row>
    <row r="317">
      <c r="A317">
        <f>ROW(A317)-1</f>
        <v>316</v>
      </c>
      <c r="B317">
        <v>9</v>
      </c>
      <c r="C317" t="str" cm="1">
        <f t="array" ref="C317">GetValue("Eng","Name",B317)</f>
        <v>Oracle</v>
      </c>
      <c r="D317">
        <v>12</v>
      </c>
      <c r="E317" t="str" cm="1">
        <f t="array" ref="E317">GetValue("Typ","Name",D317)</f>
        <v>geometry</v>
      </c>
      <c r="F317" t="str">
        <v>SDO_GEOMETRY</v>
      </c>
    </row>
    <row r="318">
      <c r="A318">
        <f>ROW(A318)-1</f>
        <v>317</v>
      </c>
      <c r="B318">
        <v>9</v>
      </c>
      <c r="C318" t="str" cm="1">
        <f t="array" ref="C318">GetValue("Eng","Name",B318)</f>
        <v>Oracle</v>
      </c>
      <c r="D318">
        <v>13</v>
      </c>
      <c r="E318" t="str" cm="1">
        <f t="array" ref="E318">GetValue("Typ","Name",D318)</f>
        <v>hierarchyid</v>
      </c>
    </row>
    <row r="319">
      <c r="A319">
        <f>ROW(A319)-1</f>
        <v>318</v>
      </c>
      <c r="B319">
        <v>9</v>
      </c>
      <c r="C319" t="str" cm="1">
        <f t="array" ref="C319">GetValue("Eng","Name",B319)</f>
        <v>Oracle</v>
      </c>
      <c r="D319">
        <v>14</v>
      </c>
      <c r="E319" t="str" cm="1">
        <f t="array" ref="E319">GetValue("Typ","Name",D319)</f>
        <v>image</v>
      </c>
      <c r="F319" t="str">
        <v>BLOB</v>
      </c>
    </row>
    <row r="320">
      <c r="A320">
        <f>ROW(A320)-1</f>
        <v>319</v>
      </c>
      <c r="B320">
        <v>9</v>
      </c>
      <c r="C320" t="str" cm="1">
        <f t="array" ref="C320">GetValue("Eng","Name",B320)</f>
        <v>Oracle</v>
      </c>
      <c r="D320">
        <v>15</v>
      </c>
      <c r="E320" t="str" cm="1">
        <f t="array" ref="E320">GetValue("Typ","Name",D320)</f>
        <v>int (4 bytes)</v>
      </c>
      <c r="F320" t="str">
        <v>NUMBER</v>
      </c>
      <c r="G320">
        <v>10</v>
      </c>
    </row>
    <row r="321">
      <c r="A321">
        <f>ROW(A321)-1</f>
        <v>320</v>
      </c>
      <c r="B321">
        <v>9</v>
      </c>
      <c r="C321" t="str" cm="1">
        <f t="array" ref="C321">GetValue("Eng","Name",B321)</f>
        <v>Oracle</v>
      </c>
      <c r="D321">
        <v>16</v>
      </c>
      <c r="E321" t="str" cm="1">
        <f t="array" ref="E321">GetValue("Typ","Name",D321)</f>
        <v>money</v>
      </c>
      <c r="F321" t="str">
        <v>NUMBER</v>
      </c>
      <c r="G321">
        <v>19</v>
      </c>
      <c r="H321">
        <v>4</v>
      </c>
    </row>
    <row r="322">
      <c r="A322">
        <f>ROW(A322)-1</f>
        <v>321</v>
      </c>
      <c r="B322">
        <v>9</v>
      </c>
      <c r="C322" t="str" cm="1">
        <f t="array" ref="C322">GetValue("Eng","Name",B322)</f>
        <v>Oracle</v>
      </c>
      <c r="D322">
        <v>17</v>
      </c>
      <c r="E322" t="str" cm="1">
        <f t="array" ref="E322">GetValue("Typ","Name",D322)</f>
        <v>nchar(n)</v>
      </c>
      <c r="F322" t="str">
        <v>NCHAR</v>
      </c>
    </row>
    <row r="323">
      <c r="A323">
        <f>ROW(A323)-1</f>
        <v>322</v>
      </c>
      <c r="B323">
        <v>9</v>
      </c>
      <c r="C323" t="str" cm="1">
        <f t="array" ref="C323">GetValue("Eng","Name",B323)</f>
        <v>Oracle</v>
      </c>
      <c r="D323">
        <v>18</v>
      </c>
      <c r="E323" t="str" cm="1">
        <f t="array" ref="E323">GetValue("Typ","Name",D323)</f>
        <v>ntext</v>
      </c>
      <c r="F323" t="str">
        <v>CLOB</v>
      </c>
    </row>
    <row r="324">
      <c r="A324">
        <f>ROW(A324)-1</f>
        <v>323</v>
      </c>
      <c r="B324">
        <v>9</v>
      </c>
      <c r="C324" t="str" cm="1">
        <f t="array" ref="C324">GetValue("Eng","Name",B324)</f>
        <v>Oracle</v>
      </c>
      <c r="D324">
        <v>19</v>
      </c>
      <c r="E324" t="str" cm="1">
        <f t="array" ref="E324">GetValue("Typ","Name",D324)</f>
        <v>numeric(p,s)</v>
      </c>
      <c r="F324" t="str">
        <v>NUMBER</v>
      </c>
    </row>
    <row r="325">
      <c r="A325">
        <f>ROW(A325)-1</f>
        <v>324</v>
      </c>
      <c r="B325">
        <v>9</v>
      </c>
      <c r="C325" t="str" cm="1">
        <f t="array" ref="C325">GetValue("Eng","Name",B325)</f>
        <v>Oracle</v>
      </c>
      <c r="D325">
        <v>20</v>
      </c>
      <c r="E325" t="str" cm="1">
        <f t="array" ref="E325">GetValue("Typ","Name",D325)</f>
        <v>nvarchar(n)</v>
      </c>
      <c r="F325" t="str">
        <v>NVARCHAR2</v>
      </c>
    </row>
    <row r="326">
      <c r="A326">
        <f>ROW(A326)-1</f>
        <v>325</v>
      </c>
      <c r="B326">
        <v>9</v>
      </c>
      <c r="C326" t="str" cm="1">
        <f t="array" ref="C326">GetValue("Eng","Name",B326)</f>
        <v>Oracle</v>
      </c>
      <c r="D326">
        <v>21</v>
      </c>
      <c r="E326" t="str" cm="1">
        <f t="array" ref="E326">GetValue("Typ","Name",D326)</f>
        <v>nvarchar(max)</v>
      </c>
      <c r="F326" t="str">
        <v>CLOB</v>
      </c>
    </row>
    <row r="327">
      <c r="A327">
        <f>ROW(A327)-1</f>
        <v>326</v>
      </c>
      <c r="B327">
        <v>9</v>
      </c>
      <c r="C327" t="str" cm="1">
        <f t="array" ref="C327">GetValue("Eng","Name",B327)</f>
        <v>Oracle</v>
      </c>
      <c r="D327">
        <v>22</v>
      </c>
      <c r="E327" t="str" cm="1">
        <f t="array" ref="E327">GetValue("Typ","Name",D327)</f>
        <v>real</v>
      </c>
      <c r="F327" t="str">
        <v>BINARY_FLOAT</v>
      </c>
    </row>
    <row r="328">
      <c r="A328">
        <f>ROW(A328)-1</f>
        <v>327</v>
      </c>
      <c r="B328">
        <v>9</v>
      </c>
      <c r="C328" t="str" cm="1">
        <f t="array" ref="C328">GetValue("Eng","Name",B328)</f>
        <v>Oracle</v>
      </c>
      <c r="D328">
        <v>23</v>
      </c>
      <c r="E328" t="str" cm="1">
        <f t="array" ref="E328">GetValue("Typ","Name",D328)</f>
        <v>smalldatetime</v>
      </c>
      <c r="F328" t="str">
        <v>DATE</v>
      </c>
    </row>
    <row r="329">
      <c r="A329">
        <f>ROW(A329)-1</f>
        <v>328</v>
      </c>
      <c r="B329">
        <v>9</v>
      </c>
      <c r="C329" t="str" cm="1">
        <f t="array" ref="C329">GetValue("Eng","Name",B329)</f>
        <v>Oracle</v>
      </c>
      <c r="D329">
        <v>24</v>
      </c>
      <c r="E329" t="str" cm="1">
        <f t="array" ref="E329">GetValue("Typ","Name",D329)</f>
        <v>smallint (2 bytes)</v>
      </c>
      <c r="F329" t="str">
        <v>NUMBER</v>
      </c>
      <c r="G329">
        <v>5</v>
      </c>
    </row>
    <row r="330">
      <c r="A330">
        <f>ROW(A330)-1</f>
        <v>329</v>
      </c>
      <c r="B330">
        <v>9</v>
      </c>
      <c r="C330" t="str" cm="1">
        <f t="array" ref="C330">GetValue("Eng","Name",B330)</f>
        <v>Oracle</v>
      </c>
      <c r="D330">
        <v>25</v>
      </c>
      <c r="E330" t="str" cm="1">
        <f t="array" ref="E330">GetValue("Typ","Name",D330)</f>
        <v>smallmoney</v>
      </c>
      <c r="F330" t="str">
        <v>NUMBER</v>
      </c>
      <c r="G330">
        <v>10</v>
      </c>
      <c r="H330">
        <v>4</v>
      </c>
    </row>
    <row r="331">
      <c r="A331">
        <f>ROW(A331)-1</f>
        <v>330</v>
      </c>
      <c r="B331">
        <v>9</v>
      </c>
      <c r="C331" t="str" cm="1">
        <f t="array" ref="C331">GetValue("Eng","Name",B331)</f>
        <v>Oracle</v>
      </c>
      <c r="D331">
        <v>26</v>
      </c>
      <c r="E331" t="str" cm="1">
        <f t="array" ref="E331">GetValue("Typ","Name",D331)</f>
        <v>sql_variant</v>
      </c>
      <c r="F331" t="str">
        <v>ANYDATA</v>
      </c>
    </row>
    <row r="332">
      <c r="A332">
        <f>ROW(A332)-1</f>
        <v>331</v>
      </c>
      <c r="B332">
        <v>9</v>
      </c>
      <c r="C332" t="str" cm="1">
        <f t="array" ref="C332">GetValue("Eng","Name",B332)</f>
        <v>Oracle</v>
      </c>
      <c r="D332">
        <v>27</v>
      </c>
      <c r="E332" t="str" cm="1">
        <f t="array" ref="E332">GetValue("Typ","Name",D332)</f>
        <v>sysname</v>
      </c>
      <c r="F332" t="str">
        <v>VARCHAR2</v>
      </c>
      <c r="G332">
        <v>30</v>
      </c>
    </row>
    <row r="333">
      <c r="A333">
        <f>ROW(A333)-1</f>
        <v>332</v>
      </c>
      <c r="B333">
        <v>9</v>
      </c>
      <c r="C333" t="str" cm="1">
        <f t="array" ref="C333">GetValue("Eng","Name",B333)</f>
        <v>Oracle</v>
      </c>
      <c r="D333">
        <v>28</v>
      </c>
      <c r="E333" t="str" cm="1">
        <f t="array" ref="E333">GetValue("Typ","Name",D333)</f>
        <v>text</v>
      </c>
      <c r="F333" t="str">
        <v>CLOB</v>
      </c>
    </row>
    <row r="334">
      <c r="A334">
        <f>ROW(A334)-1</f>
        <v>333</v>
      </c>
      <c r="B334">
        <v>9</v>
      </c>
      <c r="C334" t="str" cm="1">
        <f t="array" ref="C334">GetValue("Eng","Name",B334)</f>
        <v>Oracle</v>
      </c>
      <c r="D334">
        <v>29</v>
      </c>
      <c r="E334" t="str" cm="1">
        <f t="array" ref="E334">GetValue("Typ","Name",D334)</f>
        <v>time(s)</v>
      </c>
      <c r="F334" t="str">
        <v>DATE</v>
      </c>
    </row>
    <row r="335">
      <c r="A335">
        <f>ROW(A335)-1</f>
        <v>334</v>
      </c>
      <c r="B335">
        <v>9</v>
      </c>
      <c r="C335" t="str" cm="1">
        <f t="array" ref="C335">GetValue("Eng","Name",B335)</f>
        <v>Oracle</v>
      </c>
      <c r="D335">
        <v>30</v>
      </c>
      <c r="E335" t="str" cm="1">
        <f t="array" ref="E335">GetValue("Typ","Name",D335)</f>
        <v>timestamp</v>
      </c>
      <c r="F335" t="str">
        <v>TIMESTAMP</v>
      </c>
    </row>
    <row r="336">
      <c r="A336">
        <f>ROW(A336)-1</f>
        <v>335</v>
      </c>
      <c r="B336">
        <v>9</v>
      </c>
      <c r="C336" t="str" cm="1">
        <f t="array" ref="C336">GetValue("Eng","Name",B336)</f>
        <v>Oracle</v>
      </c>
      <c r="D336">
        <v>31</v>
      </c>
      <c r="E336" t="str" cm="1">
        <f t="array" ref="E336">GetValue("Typ","Name",D336)</f>
        <v>tinyint (1 byte)</v>
      </c>
      <c r="F336" t="str">
        <v>NUMBER</v>
      </c>
      <c r="G336">
        <v>3</v>
      </c>
    </row>
    <row r="337">
      <c r="A337">
        <f>ROW(A337)-1</f>
        <v>336</v>
      </c>
      <c r="B337">
        <v>9</v>
      </c>
      <c r="C337" t="str" cm="1">
        <f t="array" ref="C337">GetValue("Eng","Name",B337)</f>
        <v>Oracle</v>
      </c>
      <c r="D337">
        <v>32</v>
      </c>
      <c r="E337" t="str" cm="1">
        <f t="array" ref="E337">GetValue("Typ","Name",D337)</f>
        <v>uniqueidentifier</v>
      </c>
      <c r="F337" t="str">
        <v>RAW</v>
      </c>
      <c r="G337">
        <v>16</v>
      </c>
    </row>
    <row r="338">
      <c r="A338">
        <f>ROW(A338)-1</f>
        <v>337</v>
      </c>
      <c r="B338">
        <v>9</v>
      </c>
      <c r="C338" t="str" cm="1">
        <f t="array" ref="C338">GetValue("Eng","Name",B338)</f>
        <v>Oracle</v>
      </c>
      <c r="D338">
        <v>33</v>
      </c>
      <c r="E338" t="str" cm="1">
        <f t="array" ref="E338">GetValue("Typ","Name",D338)</f>
        <v>varbinary(n)</v>
      </c>
      <c r="F338" t="str">
        <v>BLOB</v>
      </c>
    </row>
    <row r="339">
      <c r="A339">
        <f>ROW(A339)-1</f>
        <v>338</v>
      </c>
      <c r="B339">
        <v>9</v>
      </c>
      <c r="C339" t="str" cm="1">
        <f t="array" ref="C339">GetValue("Eng","Name",B339)</f>
        <v>Oracle</v>
      </c>
      <c r="D339">
        <v>34</v>
      </c>
      <c r="E339" t="str" cm="1">
        <f t="array" ref="E339">GetValue("Typ","Name",D339)</f>
        <v>varbinary(max)</v>
      </c>
      <c r="F339" t="str">
        <v>BLOB</v>
      </c>
    </row>
    <row r="340">
      <c r="A340">
        <f>ROW(A340)-1</f>
        <v>339</v>
      </c>
      <c r="B340">
        <v>9</v>
      </c>
      <c r="C340" t="str" cm="1">
        <f t="array" ref="C340">GetValue("Eng","Name",B340)</f>
        <v>Oracle</v>
      </c>
      <c r="D340">
        <v>35</v>
      </c>
      <c r="E340" t="str" cm="1">
        <f t="array" ref="E340">GetValue("Typ","Name",D340)</f>
        <v>varchar(n)</v>
      </c>
      <c r="F340" t="str">
        <v>VARCHAR2</v>
      </c>
    </row>
    <row r="341">
      <c r="A341">
        <f>ROW(A341)-1</f>
        <v>340</v>
      </c>
      <c r="B341">
        <v>9</v>
      </c>
      <c r="C341" t="str" cm="1">
        <f t="array" ref="C341">GetValue("Eng","Name",B341)</f>
        <v>Oracle</v>
      </c>
      <c r="D341">
        <v>36</v>
      </c>
      <c r="E341" t="str" cm="1">
        <f t="array" ref="E341">GetValue("Typ","Name",D341)</f>
        <v>varchar(max)</v>
      </c>
      <c r="F341" t="str">
        <v>CLOB</v>
      </c>
    </row>
    <row r="342">
      <c r="A342">
        <f>ROW(A342)-1</f>
        <v>341</v>
      </c>
      <c r="B342">
        <v>9</v>
      </c>
      <c r="C342" t="str" cm="1">
        <f t="array" ref="C342">GetValue("Eng","Name",B342)</f>
        <v>Oracle</v>
      </c>
      <c r="D342">
        <v>37</v>
      </c>
      <c r="E342" t="str" cm="1">
        <f t="array" ref="E342">GetValue("Typ","Name",D342)</f>
        <v>xml</v>
      </c>
      <c r="F342" t="str">
        <v>XMLTYPE</v>
      </c>
    </row>
    <row r="343">
      <c r="A343">
        <f>ROW(A343)-1</f>
        <v>342</v>
      </c>
      <c r="B343">
        <v>9</v>
      </c>
      <c r="C343" t="str" cm="1">
        <f t="array" ref="C343">GetValue("Eng","Name",B343)</f>
        <v>Oracle</v>
      </c>
      <c r="D343">
        <v>38</v>
      </c>
      <c r="E343" t="str" cm="1">
        <f t="array" ref="E343">GetValue("Typ","Name",D343)</f>
        <v>json</v>
      </c>
      <c r="F343" t="str">
        <v>JSON</v>
      </c>
    </row>
    <row r="344">
      <c r="A344">
        <f>ROW(A344)-1</f>
        <v>343</v>
      </c>
      <c r="B344">
        <v>10</v>
      </c>
      <c r="C344" t="str" cm="1">
        <f t="array" ref="C344">GetValue("Eng","Name",B344)</f>
        <v>DB2</v>
      </c>
      <c r="D344">
        <v>1</v>
      </c>
      <c r="E344" t="str" cm="1">
        <f t="array" ref="E344">GetValue("Typ","Name",D344)</f>
        <v>bigint (8 bytes)</v>
      </c>
      <c r="F344" t="str">
        <v>BIGINT</v>
      </c>
    </row>
    <row r="345">
      <c r="A345">
        <f>ROW(A345)-1</f>
        <v>344</v>
      </c>
      <c r="B345">
        <v>10</v>
      </c>
      <c r="C345" t="str" cm="1">
        <f t="array" ref="C345">GetValue("Eng","Name",B345)</f>
        <v>DB2</v>
      </c>
      <c r="D345">
        <v>2</v>
      </c>
      <c r="E345" t="str" cm="1">
        <f t="array" ref="E345">GetValue("Typ","Name",D345)</f>
        <v>binary</v>
      </c>
      <c r="F345" t="str">
        <v>BLOB</v>
      </c>
    </row>
    <row r="346">
      <c r="A346">
        <f>ROW(A346)-1</f>
        <v>345</v>
      </c>
      <c r="B346">
        <v>10</v>
      </c>
      <c r="C346" t="str" cm="1">
        <f t="array" ref="C346">GetValue("Eng","Name",B346)</f>
        <v>DB2</v>
      </c>
      <c r="D346">
        <v>3</v>
      </c>
      <c r="E346" t="str" cm="1">
        <f t="array" ref="E346">GetValue("Typ","Name",D346)</f>
        <v>bit (1 bit)</v>
      </c>
      <c r="F346" t="str">
        <v>SMALLINT</v>
      </c>
    </row>
    <row r="347">
      <c r="A347">
        <f>ROW(A347)-1</f>
        <v>346</v>
      </c>
      <c r="B347">
        <v>10</v>
      </c>
      <c r="C347" t="str" cm="1">
        <f t="array" ref="C347">GetValue("Eng","Name",B347)</f>
        <v>DB2</v>
      </c>
      <c r="D347">
        <v>4</v>
      </c>
      <c r="E347" t="str" cm="1">
        <f t="array" ref="E347">GetValue("Typ","Name",D347)</f>
        <v>char(n)</v>
      </c>
      <c r="F347" t="str">
        <v>CHAR</v>
      </c>
    </row>
    <row r="348">
      <c r="A348">
        <f>ROW(A348)-1</f>
        <v>347</v>
      </c>
      <c r="B348">
        <v>10</v>
      </c>
      <c r="C348" t="str" cm="1">
        <f t="array" ref="C348">GetValue("Eng","Name",B348)</f>
        <v>DB2</v>
      </c>
      <c r="D348">
        <v>5</v>
      </c>
      <c r="E348" t="str" cm="1">
        <f t="array" ref="E348">GetValue("Typ","Name",D348)</f>
        <v>date</v>
      </c>
      <c r="F348" t="str">
        <v>DATE</v>
      </c>
    </row>
    <row r="349">
      <c r="A349">
        <f>ROW(A349)-1</f>
        <v>348</v>
      </c>
      <c r="B349">
        <v>10</v>
      </c>
      <c r="C349" t="str" cm="1">
        <f t="array" ref="C349">GetValue("Eng","Name",B349)</f>
        <v>DB2</v>
      </c>
      <c r="D349">
        <v>6</v>
      </c>
      <c r="E349" t="str" cm="1">
        <f t="array" ref="E349">GetValue("Typ","Name",D349)</f>
        <v>datetime</v>
      </c>
      <c r="F349" t="str">
        <v>TIMESTAMP</v>
      </c>
    </row>
    <row r="350">
      <c r="A350">
        <f>ROW(A350)-1</f>
        <v>349</v>
      </c>
      <c r="B350">
        <v>10</v>
      </c>
      <c r="C350" t="str" cm="1">
        <f t="array" ref="C350">GetValue("Eng","Name",B350)</f>
        <v>DB2</v>
      </c>
      <c r="D350">
        <v>7</v>
      </c>
      <c r="E350" t="str" cm="1">
        <f t="array" ref="E350">GetValue("Typ","Name",D350)</f>
        <v>datetime2(s)</v>
      </c>
      <c r="F350" t="str">
        <v>TIMESTAMP</v>
      </c>
      <c r="G350">
        <v>6</v>
      </c>
    </row>
    <row r="351">
      <c r="A351">
        <f>ROW(A351)-1</f>
        <v>350</v>
      </c>
      <c r="B351">
        <v>10</v>
      </c>
      <c r="C351" t="str" cm="1">
        <f t="array" ref="C351">GetValue("Eng","Name",B351)</f>
        <v>DB2</v>
      </c>
      <c r="D351">
        <v>8</v>
      </c>
      <c r="E351" t="str" cm="1">
        <f t="array" ref="E351">GetValue("Typ","Name",D351)</f>
        <v>datetimeoffset(s)</v>
      </c>
      <c r="F351" t="str">
        <v>TIMESTAMP WITH TIME ZONE</v>
      </c>
    </row>
    <row r="352">
      <c r="A352">
        <f>ROW(A352)-1</f>
        <v>351</v>
      </c>
      <c r="B352">
        <v>10</v>
      </c>
      <c r="C352" t="str" cm="1">
        <f t="array" ref="C352">GetValue("Eng","Name",B352)</f>
        <v>DB2</v>
      </c>
      <c r="D352">
        <v>9</v>
      </c>
      <c r="E352" t="str" cm="1">
        <f t="array" ref="E352">GetValue("Typ","Name",D352)</f>
        <v>decimal(p ,s)</v>
      </c>
      <c r="F352" t="str">
        <v>DECIMAL</v>
      </c>
    </row>
    <row r="353">
      <c r="A353">
        <f>ROW(A353)-1</f>
        <v>352</v>
      </c>
      <c r="B353">
        <v>10</v>
      </c>
      <c r="C353" t="str" cm="1">
        <f t="array" ref="C353">GetValue("Eng","Name",B353)</f>
        <v>DB2</v>
      </c>
      <c r="D353">
        <v>10</v>
      </c>
      <c r="E353" t="str" cm="1">
        <f t="array" ref="E353">GetValue("Typ","Name",D353)</f>
        <v>float(n)</v>
      </c>
      <c r="F353" t="str">
        <v>DOUBLE</v>
      </c>
    </row>
    <row r="354">
      <c r="A354">
        <f>ROW(A354)-1</f>
        <v>353</v>
      </c>
      <c r="B354">
        <v>10</v>
      </c>
      <c r="C354" t="str" cm="1">
        <f t="array" ref="C354">GetValue("Eng","Name",B354)</f>
        <v>DB2</v>
      </c>
      <c r="D354">
        <v>11</v>
      </c>
      <c r="E354" t="str" cm="1">
        <f t="array" ref="E354">GetValue("Typ","Name",D354)</f>
        <v>geography</v>
      </c>
    </row>
    <row r="355">
      <c r="A355">
        <f>ROW(A355)-1</f>
        <v>354</v>
      </c>
      <c r="B355">
        <v>10</v>
      </c>
      <c r="C355" t="str" cm="1">
        <f t="array" ref="C355">GetValue("Eng","Name",B355)</f>
        <v>DB2</v>
      </c>
      <c r="D355">
        <v>12</v>
      </c>
      <c r="E355" t="str" cm="1">
        <f t="array" ref="E355">GetValue("Typ","Name",D355)</f>
        <v>geometry</v>
      </c>
      <c r="F355" t="str">
        <v>ST_GEOMETRY</v>
      </c>
    </row>
    <row r="356">
      <c r="A356">
        <f>ROW(A356)-1</f>
        <v>355</v>
      </c>
      <c r="B356">
        <v>10</v>
      </c>
      <c r="C356" t="str" cm="1">
        <f t="array" ref="C356">GetValue("Eng","Name",B356)</f>
        <v>DB2</v>
      </c>
      <c r="D356">
        <v>13</v>
      </c>
      <c r="E356" t="str" cm="1">
        <f t="array" ref="E356">GetValue("Typ","Name",D356)</f>
        <v>hierarchyid</v>
      </c>
    </row>
    <row r="357">
      <c r="A357">
        <f>ROW(A357)-1</f>
        <v>356</v>
      </c>
      <c r="B357">
        <v>10</v>
      </c>
      <c r="C357" t="str" cm="1">
        <f t="array" ref="C357">GetValue("Eng","Name",B357)</f>
        <v>DB2</v>
      </c>
      <c r="D357">
        <v>14</v>
      </c>
      <c r="E357" t="str" cm="1">
        <f t="array" ref="E357">GetValue("Typ","Name",D357)</f>
        <v>image</v>
      </c>
      <c r="F357" t="str">
        <v>BLOB</v>
      </c>
    </row>
    <row r="358">
      <c r="A358">
        <f>ROW(A358)-1</f>
        <v>357</v>
      </c>
      <c r="B358">
        <v>10</v>
      </c>
      <c r="C358" t="str" cm="1">
        <f t="array" ref="C358">GetValue("Eng","Name",B358)</f>
        <v>DB2</v>
      </c>
      <c r="D358">
        <v>15</v>
      </c>
      <c r="E358" t="str" cm="1">
        <f t="array" ref="E358">GetValue("Typ","Name",D358)</f>
        <v>int (4 bytes)</v>
      </c>
      <c r="F358" t="str">
        <v>INTEGER</v>
      </c>
    </row>
    <row r="359">
      <c r="A359">
        <f>ROW(A359)-1</f>
        <v>358</v>
      </c>
      <c r="B359">
        <v>10</v>
      </c>
      <c r="C359" t="str" cm="1">
        <f t="array" ref="C359">GetValue("Eng","Name",B359)</f>
        <v>DB2</v>
      </c>
      <c r="D359">
        <v>16</v>
      </c>
      <c r="E359" t="str" cm="1">
        <f t="array" ref="E359">GetValue("Typ","Name",D359)</f>
        <v>money</v>
      </c>
      <c r="F359" t="str">
        <v>DECIMAL</v>
      </c>
      <c r="G359">
        <v>19</v>
      </c>
      <c r="H359">
        <v>4</v>
      </c>
    </row>
    <row r="360">
      <c r="A360">
        <f>ROW(A360)-1</f>
        <v>359</v>
      </c>
      <c r="B360">
        <v>10</v>
      </c>
      <c r="C360" t="str" cm="1">
        <f t="array" ref="C360">GetValue("Eng","Name",B360)</f>
        <v>DB2</v>
      </c>
      <c r="D360">
        <v>17</v>
      </c>
      <c r="E360" t="str" cm="1">
        <f t="array" ref="E360">GetValue("Typ","Name",D360)</f>
        <v>nchar(n)</v>
      </c>
      <c r="F360" t="str">
        <v>GRAPHIC</v>
      </c>
    </row>
    <row r="361">
      <c r="A361">
        <f>ROW(A361)-1</f>
        <v>360</v>
      </c>
      <c r="B361">
        <v>10</v>
      </c>
      <c r="C361" t="str" cm="1">
        <f t="array" ref="C361">GetValue("Eng","Name",B361)</f>
        <v>DB2</v>
      </c>
      <c r="D361">
        <v>18</v>
      </c>
      <c r="E361" t="str" cm="1">
        <f t="array" ref="E361">GetValue("Typ","Name",D361)</f>
        <v>ntext</v>
      </c>
      <c r="F361" t="str">
        <v>CLOB</v>
      </c>
    </row>
    <row r="362">
      <c r="A362">
        <f>ROW(A362)-1</f>
        <v>361</v>
      </c>
      <c r="B362">
        <v>10</v>
      </c>
      <c r="C362" t="str" cm="1">
        <f t="array" ref="C362">GetValue("Eng","Name",B362)</f>
        <v>DB2</v>
      </c>
      <c r="D362">
        <v>19</v>
      </c>
      <c r="E362" t="str" cm="1">
        <f t="array" ref="E362">GetValue("Typ","Name",D362)</f>
        <v>numeric(p,s)</v>
      </c>
      <c r="F362" t="str">
        <v>NUMERIC</v>
      </c>
    </row>
    <row r="363">
      <c r="A363">
        <f>ROW(A363)-1</f>
        <v>362</v>
      </c>
      <c r="B363">
        <v>10</v>
      </c>
      <c r="C363" t="str" cm="1">
        <f t="array" ref="C363">GetValue("Eng","Name",B363)</f>
        <v>DB2</v>
      </c>
      <c r="D363">
        <v>20</v>
      </c>
      <c r="E363" t="str" cm="1">
        <f t="array" ref="E363">GetValue("Typ","Name",D363)</f>
        <v>nvarchar(n)</v>
      </c>
      <c r="F363" t="str">
        <v>VARGRAPHIC</v>
      </c>
    </row>
    <row r="364">
      <c r="A364">
        <f>ROW(A364)-1</f>
        <v>363</v>
      </c>
      <c r="B364">
        <v>10</v>
      </c>
      <c r="C364" t="str" cm="1">
        <f t="array" ref="C364">GetValue("Eng","Name",B364)</f>
        <v>DB2</v>
      </c>
      <c r="D364">
        <v>21</v>
      </c>
      <c r="E364" t="str" cm="1">
        <f t="array" ref="E364">GetValue("Typ","Name",D364)</f>
        <v>nvarchar(max)</v>
      </c>
      <c r="F364" t="str">
        <v>CLOB</v>
      </c>
    </row>
    <row r="365">
      <c r="A365">
        <f>ROW(A365)-1</f>
        <v>364</v>
      </c>
      <c r="B365">
        <v>10</v>
      </c>
      <c r="C365" t="str" cm="1">
        <f t="array" ref="C365">GetValue("Eng","Name",B365)</f>
        <v>DB2</v>
      </c>
      <c r="D365">
        <v>22</v>
      </c>
      <c r="E365" t="str" cm="1">
        <f t="array" ref="E365">GetValue("Typ","Name",D365)</f>
        <v>real</v>
      </c>
      <c r="F365" t="str">
        <v>REAL</v>
      </c>
    </row>
    <row r="366">
      <c r="A366">
        <f>ROW(A366)-1</f>
        <v>365</v>
      </c>
      <c r="B366">
        <v>10</v>
      </c>
      <c r="C366" t="str" cm="1">
        <f t="array" ref="C366">GetValue("Eng","Name",B366)</f>
        <v>DB2</v>
      </c>
      <c r="D366">
        <v>23</v>
      </c>
      <c r="E366" t="str" cm="1">
        <f t="array" ref="E366">GetValue("Typ","Name",D366)</f>
        <v>smalldatetime</v>
      </c>
      <c r="F366" t="str">
        <v>TIMESTAMP</v>
      </c>
    </row>
    <row r="367">
      <c r="A367">
        <f>ROW(A367)-1</f>
        <v>366</v>
      </c>
      <c r="B367">
        <v>10</v>
      </c>
      <c r="C367" t="str" cm="1">
        <f t="array" ref="C367">GetValue("Eng","Name",B367)</f>
        <v>DB2</v>
      </c>
      <c r="D367">
        <v>24</v>
      </c>
      <c r="E367" t="str" cm="1">
        <f t="array" ref="E367">GetValue("Typ","Name",D367)</f>
        <v>smallint (2 bytes)</v>
      </c>
      <c r="F367" t="str">
        <v>SMALLINT</v>
      </c>
    </row>
    <row r="368">
      <c r="A368">
        <f>ROW(A368)-1</f>
        <v>367</v>
      </c>
      <c r="B368">
        <v>10</v>
      </c>
      <c r="C368" t="str" cm="1">
        <f t="array" ref="C368">GetValue("Eng","Name",B368)</f>
        <v>DB2</v>
      </c>
      <c r="D368">
        <v>25</v>
      </c>
      <c r="E368" t="str" cm="1">
        <f t="array" ref="E368">GetValue("Typ","Name",D368)</f>
        <v>smallmoney</v>
      </c>
      <c r="F368" t="str">
        <v>DECIMAL</v>
      </c>
      <c r="G368">
        <v>10</v>
      </c>
      <c r="H368">
        <v>4</v>
      </c>
    </row>
    <row r="369">
      <c r="A369">
        <f>ROW(A369)-1</f>
        <v>368</v>
      </c>
      <c r="B369">
        <v>10</v>
      </c>
      <c r="C369" t="str" cm="1">
        <f t="array" ref="C369">GetValue("Eng","Name",B369)</f>
        <v>DB2</v>
      </c>
      <c r="D369">
        <v>26</v>
      </c>
      <c r="E369" t="str" cm="1">
        <f t="array" ref="E369">GetValue("Typ","Name",D369)</f>
        <v>sql_variant</v>
      </c>
      <c r="F369" t="str">
        <v>XML</v>
      </c>
    </row>
    <row r="370">
      <c r="A370">
        <f>ROW(A370)-1</f>
        <v>369</v>
      </c>
      <c r="B370">
        <v>10</v>
      </c>
      <c r="C370" t="str" cm="1">
        <f t="array" ref="C370">GetValue("Eng","Name",B370)</f>
        <v>DB2</v>
      </c>
      <c r="D370">
        <v>27</v>
      </c>
      <c r="E370" t="str" cm="1">
        <f t="array" ref="E370">GetValue("Typ","Name",D370)</f>
        <v>sysname</v>
      </c>
      <c r="F370" t="str">
        <v>VARCHAR</v>
      </c>
      <c r="G370">
        <v>128</v>
      </c>
    </row>
    <row r="371">
      <c r="A371">
        <f>ROW(A371)-1</f>
        <v>370</v>
      </c>
      <c r="B371">
        <v>10</v>
      </c>
      <c r="C371" t="str" cm="1">
        <f t="array" ref="C371">GetValue("Eng","Name",B371)</f>
        <v>DB2</v>
      </c>
      <c r="D371">
        <v>28</v>
      </c>
      <c r="E371" t="str" cm="1">
        <f t="array" ref="E371">GetValue("Typ","Name",D371)</f>
        <v>text</v>
      </c>
      <c r="F371" t="str">
        <v>CLOB</v>
      </c>
    </row>
    <row r="372">
      <c r="A372">
        <f>ROW(A372)-1</f>
        <v>371</v>
      </c>
      <c r="B372">
        <v>10</v>
      </c>
      <c r="C372" t="str" cm="1">
        <f t="array" ref="C372">GetValue("Eng","Name",B372)</f>
        <v>DB2</v>
      </c>
      <c r="D372">
        <v>29</v>
      </c>
      <c r="E372" t="str" cm="1">
        <f t="array" ref="E372">GetValue("Typ","Name",D372)</f>
        <v>time(s)</v>
      </c>
      <c r="F372" t="str">
        <v>TIME</v>
      </c>
    </row>
    <row r="373">
      <c r="A373">
        <f>ROW(A373)-1</f>
        <v>372</v>
      </c>
      <c r="B373">
        <v>10</v>
      </c>
      <c r="C373" t="str" cm="1">
        <f t="array" ref="C373">GetValue("Eng","Name",B373)</f>
        <v>DB2</v>
      </c>
      <c r="D373">
        <v>30</v>
      </c>
      <c r="E373" t="str" cm="1">
        <f t="array" ref="E373">GetValue("Typ","Name",D373)</f>
        <v>timestamp</v>
      </c>
      <c r="F373" t="str">
        <v>TIMESTAMP</v>
      </c>
    </row>
    <row r="374">
      <c r="A374">
        <f>ROW(A374)-1</f>
        <v>373</v>
      </c>
      <c r="B374">
        <v>10</v>
      </c>
      <c r="C374" t="str" cm="1">
        <f t="array" ref="C374">GetValue("Eng","Name",B374)</f>
        <v>DB2</v>
      </c>
      <c r="D374">
        <v>31</v>
      </c>
      <c r="E374" t="str" cm="1">
        <f t="array" ref="E374">GetValue("Typ","Name",D374)</f>
        <v>tinyint (1 byte)</v>
      </c>
      <c r="F374" t="str">
        <v>SMALLINT</v>
      </c>
    </row>
    <row r="375">
      <c r="A375">
        <f>ROW(A375)-1</f>
        <v>374</v>
      </c>
      <c r="B375">
        <v>10</v>
      </c>
      <c r="C375" t="str" cm="1">
        <f t="array" ref="C375">GetValue("Eng","Name",B375)</f>
        <v>DB2</v>
      </c>
      <c r="D375">
        <v>32</v>
      </c>
      <c r="E375" t="str" cm="1">
        <f t="array" ref="E375">GetValue("Typ","Name",D375)</f>
        <v>uniqueidentifier</v>
      </c>
      <c r="F375" t="str">
        <v>CHAR</v>
      </c>
      <c r="G375">
        <v>36</v>
      </c>
    </row>
    <row r="376">
      <c r="A376">
        <f>ROW(A376)-1</f>
        <v>375</v>
      </c>
      <c r="B376">
        <v>10</v>
      </c>
      <c r="C376" t="str" cm="1">
        <f t="array" ref="C376">GetValue("Eng","Name",B376)</f>
        <v>DB2</v>
      </c>
      <c r="D376">
        <v>33</v>
      </c>
      <c r="E376" t="str" cm="1">
        <f t="array" ref="E376">GetValue("Typ","Name",D376)</f>
        <v>varbinary(n)</v>
      </c>
      <c r="F376" t="str">
        <v>BLOB</v>
      </c>
    </row>
    <row r="377">
      <c r="A377">
        <f>ROW(A377)-1</f>
        <v>376</v>
      </c>
      <c r="B377">
        <v>10</v>
      </c>
      <c r="C377" t="str" cm="1">
        <f t="array" ref="C377">GetValue("Eng","Name",B377)</f>
        <v>DB2</v>
      </c>
      <c r="D377">
        <v>34</v>
      </c>
      <c r="E377" t="str" cm="1">
        <f t="array" ref="E377">GetValue("Typ","Name",D377)</f>
        <v>varbinary(max)</v>
      </c>
      <c r="F377" t="str">
        <v>BLOB</v>
      </c>
    </row>
    <row r="378">
      <c r="A378">
        <f>ROW(A378)-1</f>
        <v>377</v>
      </c>
      <c r="B378">
        <v>10</v>
      </c>
      <c r="C378" t="str" cm="1">
        <f t="array" ref="C378">GetValue("Eng","Name",B378)</f>
        <v>DB2</v>
      </c>
      <c r="D378">
        <v>35</v>
      </c>
      <c r="E378" t="str" cm="1">
        <f t="array" ref="E378">GetValue("Typ","Name",D378)</f>
        <v>varchar(n)</v>
      </c>
      <c r="F378" t="str">
        <v>VARCHAR</v>
      </c>
    </row>
    <row r="379">
      <c r="A379">
        <f>ROW(A379)-1</f>
        <v>378</v>
      </c>
      <c r="B379">
        <v>10</v>
      </c>
      <c r="C379" t="str" cm="1">
        <f t="array" ref="C379">GetValue("Eng","Name",B379)</f>
        <v>DB2</v>
      </c>
      <c r="D379">
        <v>36</v>
      </c>
      <c r="E379" t="str" cm="1">
        <f t="array" ref="E379">GetValue("Typ","Name",D379)</f>
        <v>varchar(max)</v>
      </c>
      <c r="F379" t="str">
        <v>CLOB</v>
      </c>
    </row>
    <row r="380">
      <c r="A380">
        <f>ROW(A380)-1</f>
        <v>379</v>
      </c>
      <c r="B380">
        <v>10</v>
      </c>
      <c r="C380" t="str" cm="1">
        <f t="array" ref="C380">GetValue("Eng","Name",B380)</f>
        <v>DB2</v>
      </c>
      <c r="D380">
        <v>37</v>
      </c>
      <c r="E380" t="str" cm="1">
        <f t="array" ref="E380">GetValue("Typ","Name",D380)</f>
        <v>xml</v>
      </c>
      <c r="F380" t="str">
        <v>XML</v>
      </c>
    </row>
    <row r="381">
      <c r="A381">
        <f>ROW(A381)-1</f>
        <v>380</v>
      </c>
      <c r="B381">
        <v>10</v>
      </c>
      <c r="C381" t="str" cm="1">
        <f t="array" ref="C381">GetValue("Eng","Name",B381)</f>
        <v>DB2</v>
      </c>
      <c r="D381">
        <v>38</v>
      </c>
      <c r="E381" t="str" cm="1">
        <f t="array" ref="E381">GetValue("Typ","Name",D381)</f>
        <v>json</v>
      </c>
      <c r="F381" t="str">
        <v>JSON</v>
      </c>
    </row>
  </sheetData>
  <pageMargins left="0.511811024" right="0.511811024" top="0.787401575" bottom="0.787401575" header="0.31496062" footer="0.31496062"/>
  <ignoredErrors>
    <ignoredError numberStoredAsText="1" sqref="A1:H381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G6"/>
  <sheetViews>
    <sheetView workbookViewId="0" rightToLeft="0"/>
  </sheetViews>
  <sheetData>
    <row r="1">
      <c r="A1" t="str">
        <v>*Id</v>
      </c>
      <c r="B1" t="str">
        <v>Name</v>
      </c>
      <c r="C1" t="str">
        <v>Logo</v>
      </c>
      <c r="D1" t="str">
        <v>EngineId</v>
      </c>
      <c r="E1" t="str">
        <v>#EngineName</v>
      </c>
      <c r="F1" t="str">
        <v xml:space="preserve">AskDatabasePath </v>
      </c>
      <c r="G1" t="str">
        <v>IsActive</v>
      </c>
    </row>
    <row r="2">
      <c r="A2">
        <f>ROW(A2)-1</f>
        <v>1</v>
      </c>
      <c r="B2" t="str">
        <v>SoftLab</v>
      </c>
      <c r="C2" t="str">
        <v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v>
      </c>
      <c r="D2">
        <v>1</v>
      </c>
      <c r="E2" t="str" cm="1">
        <f t="array" ref="E2">GetValue("Eng","Name",D2)</f>
        <v>SQL Server</v>
      </c>
      <c r="F2" t="b">
        <v>0</v>
      </c>
      <c r="G2" t="b">
        <v>1</v>
      </c>
    </row>
    <row r="3">
      <c r="A3">
        <f>ROW(A3)-1</f>
        <v>2</v>
      </c>
      <c r="B3" t="str">
        <v>Bradesco</v>
      </c>
      <c r="C3" t="str">
        <v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v>
      </c>
      <c r="D3">
        <v>1</v>
      </c>
      <c r="E3" t="str" cm="1">
        <f t="array" ref="E3">GetValue("Eng","Name",D3)</f>
        <v>SQL Server</v>
      </c>
      <c r="F3" t="b">
        <v>0</v>
      </c>
      <c r="G3" t="b">
        <v>1</v>
      </c>
    </row>
    <row r="4">
      <c r="A4">
        <f>ROW(A4)-1</f>
        <v>3</v>
      </c>
      <c r="B4" t="str">
        <v>Daycoval</v>
      </c>
      <c r="C4" t="str">
        <v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v>
      </c>
      <c r="D4">
        <v>1</v>
      </c>
      <c r="E4" t="str" cm="1">
        <f t="array" ref="E4">GetValue("Eng","Name",D4)</f>
        <v>SQL Server</v>
      </c>
      <c r="F4" t="b">
        <v>0</v>
      </c>
      <c r="G4" t="b">
        <v>1</v>
      </c>
    </row>
    <row r="5">
      <c r="A5">
        <f>ROW(A5)-1</f>
        <v>4</v>
      </c>
      <c r="B5" t="str">
        <v>Itaú</v>
      </c>
      <c r="C5" t="str">
        <v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v>
      </c>
      <c r="D5">
        <v>1</v>
      </c>
      <c r="E5" t="str" cm="1">
        <f t="array" ref="E5">GetValue("Eng","Name",D5)</f>
        <v>SQL Server</v>
      </c>
      <c r="F5" t="b">
        <v>0</v>
      </c>
      <c r="G5" t="b">
        <v>1</v>
      </c>
    </row>
    <row r="6">
      <c r="A6">
        <f>ROW(A6)-1</f>
        <v>5</v>
      </c>
      <c r="B6" t="str">
        <v>Evadin</v>
      </c>
      <c r="C6" t="str">
        <v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v>
      </c>
      <c r="D6">
        <v>1</v>
      </c>
      <c r="E6" t="str" cm="1">
        <f t="array" ref="E6">GetValue("Eng","Name",D6)</f>
        <v>SQL Server</v>
      </c>
      <c r="F6" t="b">
        <v>0</v>
      </c>
      <c r="G6" t="b">
        <v>1</v>
      </c>
    </row>
  </sheetData>
  <pageMargins left="0.511811024" right="0.511811024" top="0.787401575" bottom="0.787401575" header="0.31496062" footer="0.31496062"/>
  <ignoredErrors>
    <ignoredError numberStoredAsText="1" sqref="A1:G6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O54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TypeId</v>
      </c>
      <c r="E1" t="str">
        <v>#TypeName</v>
      </c>
      <c r="F1" t="str">
        <v>#CategoryName</v>
      </c>
      <c r="G1" t="str">
        <v>Name</v>
      </c>
      <c r="H1" t="str">
        <v>Length</v>
      </c>
      <c r="I1" t="str">
        <v>Decimals</v>
      </c>
      <c r="J1" t="str">
        <v>Default</v>
      </c>
      <c r="K1" t="str">
        <v>Minimum</v>
      </c>
      <c r="L1" t="str">
        <v>Maximum</v>
      </c>
      <c r="M1" t="str">
        <v>ValidChars</v>
      </c>
      <c r="N1" t="str">
        <v>ValidValues</v>
      </c>
      <c r="O1" t="str">
        <v>ListValues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GetValue("Typ","Name",D2)</f>
        <v>bigint (8 bytes)</v>
      </c>
      <c r="F2" t="str" cm="1">
        <f t="array" ref="F2">GetValue("Typ","#CategoryName",D2)</f>
        <v>number</v>
      </c>
      <c r="G2" t="str">
        <v>BigInteger</v>
      </c>
    </row>
    <row r="3">
      <c r="A3">
        <f>ROW(A3)-1</f>
        <v>2</v>
      </c>
      <c r="B3">
        <v>1</v>
      </c>
      <c r="C3" t="str" cm="1">
        <f t="array" ref="C3">GetValue("Own","Name",B3)</f>
        <v>SoftLab</v>
      </c>
      <c r="D3">
        <v>15</v>
      </c>
      <c r="E3" t="str" cm="1">
        <f t="array" ref="E3">GetValue("Typ","Name",D3)</f>
        <v>int (4 bytes)</v>
      </c>
      <c r="F3" t="str" cm="1">
        <f t="array" ref="F3">GetValue("Typ","#CategoryName",D3)</f>
        <v>number</v>
      </c>
      <c r="G3" t="str">
        <v>Integer</v>
      </c>
    </row>
    <row r="4">
      <c r="A4">
        <f>ROW(A4)-1</f>
        <v>3</v>
      </c>
      <c r="B4">
        <v>1</v>
      </c>
      <c r="C4" t="str" cm="1">
        <f t="array" ref="C4">GetValue("Own","Name",B4)</f>
        <v>SoftLab</v>
      </c>
      <c r="D4">
        <v>15</v>
      </c>
      <c r="E4" t="str" cm="1">
        <f t="array" ref="E4">GetValue("Typ","Name",D4)</f>
        <v>int (4 bytes)</v>
      </c>
      <c r="F4" t="str" cm="1">
        <f t="array" ref="F4">GetValue("Typ","#CategoryName",D4)</f>
        <v>number</v>
      </c>
      <c r="G4" t="str">
        <v>ShortInteger</v>
      </c>
      <c r="K4">
        <v>-65536</v>
      </c>
      <c r="L4">
        <v>65535</v>
      </c>
    </row>
    <row r="5">
      <c r="A5">
        <f>ROW(A5)-1</f>
        <v>4</v>
      </c>
      <c r="B5">
        <v>1</v>
      </c>
      <c r="C5" t="str" cm="1">
        <f t="array" ref="C5">GetValue("Own","Name",B5)</f>
        <v>SoftLab</v>
      </c>
      <c r="D5">
        <v>24</v>
      </c>
      <c r="E5" t="str" cm="1">
        <f t="array" ref="E5">GetValue("Typ","Name",D5)</f>
        <v>smallint (2 bytes)</v>
      </c>
      <c r="F5" t="str" cm="1">
        <f t="array" ref="F5">GetValue("Typ","#CategoryName",D5)</f>
        <v>number</v>
      </c>
      <c r="G5" t="str">
        <v>SmallInteger</v>
      </c>
    </row>
    <row r="6">
      <c r="A6">
        <f>ROW(A6)-1</f>
        <v>5</v>
      </c>
      <c r="B6">
        <v>1</v>
      </c>
      <c r="C6" t="str" cm="1">
        <f t="array" ref="C6">GetValue("Own","Name",B6)</f>
        <v>SoftLab</v>
      </c>
      <c r="D6">
        <v>31</v>
      </c>
      <c r="E6" t="str" cm="1">
        <f t="array" ref="E6">GetValue("Typ","Name",D6)</f>
        <v>tinyint (1 byte)</v>
      </c>
      <c r="F6" t="str" cm="1">
        <f t="array" ref="F6">GetValue("Typ","#CategoryName",D6)</f>
        <v>number</v>
      </c>
      <c r="G6" t="str">
        <v>TinyInteger</v>
      </c>
    </row>
    <row r="7">
      <c r="A7">
        <f>ROW(A7)-1</f>
        <v>6</v>
      </c>
      <c r="B7">
        <v>1</v>
      </c>
      <c r="C7" t="str" cm="1">
        <f t="array" ref="C7">GetValue("Own","Name",B7)</f>
        <v>SoftLab</v>
      </c>
      <c r="D7">
        <v>3</v>
      </c>
      <c r="E7" t="str" cm="1">
        <f t="array" ref="E7">GetValue("Typ","Name",D7)</f>
        <v>bit (1 bit)</v>
      </c>
      <c r="F7" t="str" cm="1">
        <f t="array" ref="F7">GetValue("Typ","#CategoryName",D7)</f>
        <v>boolean</v>
      </c>
      <c r="G7" t="str">
        <v>Boolean</v>
      </c>
    </row>
    <row r="8">
      <c r="A8">
        <f>ROW(A8)-1</f>
        <v>7</v>
      </c>
      <c r="B8">
        <v>1</v>
      </c>
      <c r="C8" t="str" cm="1">
        <f t="array" ref="C8">GetValue("Own","Name",B8)</f>
        <v>SoftLab</v>
      </c>
      <c r="D8">
        <v>6</v>
      </c>
      <c r="E8" t="str" cm="1">
        <f t="array" ref="E8">GetValue("Typ","Name",D8)</f>
        <v>datetime</v>
      </c>
      <c r="F8" t="str" cm="1">
        <f t="array" ref="F8">GetValue("Typ","#CategoryName",D8)</f>
        <v>datetime</v>
      </c>
      <c r="G8" t="str">
        <v>DATETIME</v>
      </c>
    </row>
    <row r="9">
      <c r="A9">
        <f>ROW(A9)-1</f>
        <v>8</v>
      </c>
      <c r="B9">
        <v>1</v>
      </c>
      <c r="C9" t="str" cm="1">
        <f t="array" ref="C9">GetValue("Own","Name",B9)</f>
        <v>SoftLab</v>
      </c>
      <c r="D9">
        <v>20</v>
      </c>
      <c r="E9" t="str" cm="1">
        <f t="array" ref="E9">GetValue("Typ","Name",D9)</f>
        <v>nvarchar(n)</v>
      </c>
      <c r="F9" t="str" cm="1">
        <f t="array" ref="F9">GetValue("Typ","#CategoryName",D9)</f>
        <v>string</v>
      </c>
      <c r="G9" t="str">
        <v>NVARCHAR(15)</v>
      </c>
      <c r="H9">
        <v>15</v>
      </c>
    </row>
    <row r="10">
      <c r="A10">
        <f>ROW(A10)-1</f>
        <v>9</v>
      </c>
      <c r="B10">
        <v>1</v>
      </c>
      <c r="C10" t="str" cm="1">
        <f t="array" ref="C10">GetValue("Own","Name",B10)</f>
        <v>SoftLab</v>
      </c>
      <c r="D10">
        <v>20</v>
      </c>
      <c r="E10" t="str" cm="1">
        <f t="array" ref="E10">GetValue("Typ","Name",D10)</f>
        <v>nvarchar(n)</v>
      </c>
      <c r="F10" t="str" cm="1">
        <f t="array" ref="F10">GetValue("Typ","#CategoryName",D10)</f>
        <v>string</v>
      </c>
      <c r="G10" t="str">
        <v>NVARCHAR(20)</v>
      </c>
      <c r="H10">
        <v>20</v>
      </c>
    </row>
    <row r="11">
      <c r="A11">
        <f>ROW(A11)-1</f>
        <v>10</v>
      </c>
      <c r="B11">
        <v>1</v>
      </c>
      <c r="C11" t="str" cm="1">
        <f t="array" ref="C11">GetValue("Own","Name",B11)</f>
        <v>SoftLab</v>
      </c>
      <c r="D11">
        <v>20</v>
      </c>
      <c r="E11" t="str" cm="1">
        <f t="array" ref="E11">GetValue("Typ","Name",D11)</f>
        <v>nvarchar(n)</v>
      </c>
      <c r="F11" t="str" cm="1">
        <f t="array" ref="F11">GetValue("Typ","#CategoryName",D11)</f>
        <v>string</v>
      </c>
      <c r="G11" t="str">
        <v>NVARCHAR(25)</v>
      </c>
      <c r="H11">
        <v>25</v>
      </c>
    </row>
    <row r="12">
      <c r="A12">
        <f>ROW(A12)-1</f>
        <v>11</v>
      </c>
      <c r="B12">
        <v>1</v>
      </c>
      <c r="C12" t="str" cm="1">
        <f t="array" ref="C12">GetValue("Own","Name",B12)</f>
        <v>SoftLab</v>
      </c>
      <c r="D12">
        <v>20</v>
      </c>
      <c r="E12" t="str" cm="1">
        <f t="array" ref="E12">GetValue("Typ","Name",D12)</f>
        <v>nvarchar(n)</v>
      </c>
      <c r="F12" t="str" cm="1">
        <f t="array" ref="F12">GetValue("Typ","#CategoryName",D12)</f>
        <v>string</v>
      </c>
      <c r="G12" t="str">
        <v>NVARCHAR(50)</v>
      </c>
      <c r="H12">
        <v>50</v>
      </c>
    </row>
    <row r="13">
      <c r="A13">
        <f>ROW(A13)-1</f>
        <v>12</v>
      </c>
      <c r="B13">
        <v>1</v>
      </c>
      <c r="C13" t="str" cm="1">
        <f t="array" ref="C13">GetValue("Own","Name",B13)</f>
        <v>SoftLab</v>
      </c>
      <c r="D13">
        <v>20</v>
      </c>
      <c r="E13" t="str" cm="1">
        <f t="array" ref="E13">GetValue("Typ","Name",D13)</f>
        <v>nvarchar(n)</v>
      </c>
      <c r="F13" t="str" cm="1">
        <f t="array" ref="F13">GetValue("Typ","#CategoryName",D13)</f>
        <v>string</v>
      </c>
      <c r="G13" t="str">
        <v>NVARCHAR(256)</v>
      </c>
      <c r="H13">
        <v>256</v>
      </c>
    </row>
    <row r="14">
      <c r="A14">
        <f>ROW(A14)-1</f>
        <v>13</v>
      </c>
      <c r="B14">
        <v>1</v>
      </c>
      <c r="C14" t="str" cm="1">
        <f t="array" ref="C14">GetValue("Own","Name",B14)</f>
        <v>SoftLab</v>
      </c>
      <c r="D14">
        <v>21</v>
      </c>
      <c r="E14" t="str" cm="1">
        <f t="array" ref="E14">GetValue("Typ","Name",D14)</f>
        <v>nvarchar(max)</v>
      </c>
      <c r="F14" t="str" cm="1">
        <f t="array" ref="F14">GetValue("Typ","#CategoryName",D14)</f>
        <v>text</v>
      </c>
      <c r="G14" t="str">
        <v>NVARCHAR(max)</v>
      </c>
    </row>
    <row r="15">
      <c r="A15">
        <f>ROW(A15)-1</f>
        <v>14</v>
      </c>
      <c r="B15">
        <v>1</v>
      </c>
      <c r="C15" t="str" cm="1">
        <f t="array" ref="C15">GetValue("Own","Name",B15)</f>
        <v>SoftLab</v>
      </c>
      <c r="D15">
        <v>17</v>
      </c>
      <c r="E15" t="str" cm="1">
        <f t="array" ref="E15">GetValue("Typ","Name",D15)</f>
        <v>nchar(n)</v>
      </c>
      <c r="F15" t="str" cm="1">
        <f t="array" ref="F15">GetValue("Typ","#CategoryName",D15)</f>
        <v>string</v>
      </c>
      <c r="G15" t="str">
        <v>NCHAR(1)</v>
      </c>
      <c r="H15">
        <v>1</v>
      </c>
    </row>
    <row r="16">
      <c r="A16">
        <f>ROW(A16)-1</f>
        <v>15</v>
      </c>
      <c r="B16">
        <v>1</v>
      </c>
      <c r="C16" t="str" cm="1">
        <f t="array" ref="C16">GetValue("Own","Name",B16)</f>
        <v>SoftLab</v>
      </c>
      <c r="D16">
        <v>35</v>
      </c>
      <c r="E16" t="str" cm="1">
        <f t="array" ref="E16">GetValue("Typ","Name",D16)</f>
        <v>varchar(n)</v>
      </c>
      <c r="F16" t="str" cm="1">
        <f t="array" ref="F16">GetValue("Typ","#CategoryName",D16)</f>
        <v>string</v>
      </c>
      <c r="G16" t="str">
        <v>VARCHAR(15)</v>
      </c>
      <c r="H16">
        <v>15</v>
      </c>
    </row>
    <row r="17">
      <c r="A17">
        <f>ROW(A17)-1</f>
        <v>16</v>
      </c>
      <c r="B17">
        <v>1</v>
      </c>
      <c r="C17" t="str" cm="1">
        <f t="array" ref="C17">GetValue("Own","Name",B17)</f>
        <v>SoftLab</v>
      </c>
      <c r="D17">
        <v>35</v>
      </c>
      <c r="E17" t="str" cm="1">
        <f t="array" ref="E17">GetValue("Typ","Name",D17)</f>
        <v>varchar(n)</v>
      </c>
      <c r="F17" t="str" cm="1">
        <f t="array" ref="F17">GetValue("Typ","#CategoryName",D17)</f>
        <v>string</v>
      </c>
      <c r="G17" t="str">
        <v>VARCHAR(20)</v>
      </c>
      <c r="H17">
        <v>20</v>
      </c>
    </row>
    <row r="18">
      <c r="A18">
        <f>ROW(A18)-1</f>
        <v>17</v>
      </c>
      <c r="B18">
        <v>1</v>
      </c>
      <c r="C18" t="str" cm="1">
        <f t="array" ref="C18">GetValue("Own","Name",B18)</f>
        <v>SoftLab</v>
      </c>
      <c r="D18">
        <v>35</v>
      </c>
      <c r="E18" t="str" cm="1">
        <f t="array" ref="E18">GetValue("Typ","Name",D18)</f>
        <v>varchar(n)</v>
      </c>
      <c r="F18" t="str" cm="1">
        <f t="array" ref="F18">GetValue("Typ","#CategoryName",D18)</f>
        <v>string</v>
      </c>
      <c r="G18" t="str">
        <v>VARCHAR(25)</v>
      </c>
      <c r="H18">
        <v>25</v>
      </c>
    </row>
    <row r="19">
      <c r="A19">
        <f>ROW(A19)-1</f>
        <v>18</v>
      </c>
      <c r="B19">
        <v>1</v>
      </c>
      <c r="C19" t="str" cm="1">
        <f t="array" ref="C19">GetValue("Own","Name",B19)</f>
        <v>SoftLab</v>
      </c>
      <c r="D19">
        <v>35</v>
      </c>
      <c r="E19" t="str" cm="1">
        <f t="array" ref="E19">GetValue("Typ","Name",D19)</f>
        <v>varchar(n)</v>
      </c>
      <c r="F19" t="str" cm="1">
        <f t="array" ref="F19">GetValue("Typ","#CategoryName",D19)</f>
        <v>string</v>
      </c>
      <c r="G19" t="str">
        <v>VARCHAR(50)</v>
      </c>
      <c r="H19">
        <v>50</v>
      </c>
    </row>
    <row r="20">
      <c r="A20">
        <f>ROW(A20)-1</f>
        <v>19</v>
      </c>
      <c r="B20">
        <v>1</v>
      </c>
      <c r="C20" t="str" cm="1">
        <f t="array" ref="C20">GetValue("Own","Name",B20)</f>
        <v>SoftLab</v>
      </c>
      <c r="D20">
        <v>35</v>
      </c>
      <c r="E20" t="str" cm="1">
        <f t="array" ref="E20">GetValue("Typ","Name",D20)</f>
        <v>varchar(n)</v>
      </c>
      <c r="F20" t="str" cm="1">
        <f t="array" ref="F20">GetValue("Typ","#CategoryName",D20)</f>
        <v>string</v>
      </c>
      <c r="G20" t="str">
        <v>VARCHAR(256)</v>
      </c>
      <c r="H20">
        <v>256</v>
      </c>
    </row>
    <row r="21">
      <c r="A21">
        <f>ROW(A21)-1</f>
        <v>20</v>
      </c>
      <c r="B21">
        <v>1</v>
      </c>
      <c r="C21" t="str" cm="1">
        <f t="array" ref="C21">GetValue("Own","Name",B21)</f>
        <v>SoftLab</v>
      </c>
      <c r="D21">
        <v>36</v>
      </c>
      <c r="E21" t="str" cm="1">
        <f t="array" ref="E21">GetValue("Typ","Name",D21)</f>
        <v>varchar(max)</v>
      </c>
      <c r="F21" t="str" cm="1">
        <f t="array" ref="F21">GetValue("Typ","#CategoryName",D21)</f>
        <v>text</v>
      </c>
      <c r="G21" t="str">
        <v>VARCHAR(max)</v>
      </c>
      <c r="H21">
        <v>256</v>
      </c>
    </row>
    <row r="22">
      <c r="A22">
        <f>ROW(A22)-1</f>
        <v>21</v>
      </c>
      <c r="B22">
        <v>1</v>
      </c>
      <c r="C22" t="str" cm="1">
        <f t="array" ref="C22">GetValue("Own","Name",B22)</f>
        <v>SoftLab</v>
      </c>
      <c r="D22">
        <v>4</v>
      </c>
      <c r="E22" t="str" cm="1">
        <f t="array" ref="E22">GetValue("Typ","Name",D22)</f>
        <v>char(n)</v>
      </c>
      <c r="F22" t="str" cm="1">
        <f t="array" ref="F22">GetValue("Typ","#CategoryName",D22)</f>
        <v>string</v>
      </c>
      <c r="G22" t="str">
        <v>CHAR(1)</v>
      </c>
      <c r="H22">
        <v>1</v>
      </c>
    </row>
    <row r="23">
      <c r="A23">
        <f>ROW(A23)-1</f>
        <v>22</v>
      </c>
      <c r="B23">
        <v>1</v>
      </c>
      <c r="C23" t="str" cm="1">
        <f t="array" ref="C23">GetValue("Own","Name",B23)</f>
        <v>SoftLab</v>
      </c>
      <c r="D23">
        <v>17</v>
      </c>
      <c r="E23" t="str" cm="1">
        <f t="array" ref="E23">GetValue("Typ","Name",D23)</f>
        <v>nchar(n)</v>
      </c>
      <c r="F23" t="str" cm="1">
        <f t="array" ref="F23">GetValue("Typ","#CategoryName",D23)</f>
        <v>string</v>
      </c>
      <c r="G23" t="str">
        <v>Raíz CNPJ</v>
      </c>
      <c r="H23">
        <v>8</v>
      </c>
    </row>
    <row r="24">
      <c r="A24">
        <f>ROW(A24)-1</f>
        <v>23</v>
      </c>
      <c r="B24">
        <v>1</v>
      </c>
      <c r="C24" t="str" cm="1">
        <f t="array" ref="C24">GetValue("Own","Name",B24)</f>
        <v>SoftLab</v>
      </c>
      <c r="D24">
        <v>17</v>
      </c>
      <c r="E24" t="str" cm="1">
        <f t="array" ref="E24">GetValue("Typ","Name",D24)</f>
        <v>nchar(n)</v>
      </c>
      <c r="F24" t="str" cm="1">
        <f t="array" ref="F24">GetValue("Typ","#CategoryName",D24)</f>
        <v>string</v>
      </c>
      <c r="G24" t="str">
        <v>CPF</v>
      </c>
      <c r="H24">
        <v>11</v>
      </c>
    </row>
    <row r="25">
      <c r="A25">
        <f>ROW(A25)-1</f>
        <v>24</v>
      </c>
      <c r="B25">
        <v>1</v>
      </c>
      <c r="C25" t="str" cm="1">
        <f t="array" ref="C25">GetValue("Own","Name",B25)</f>
        <v>SoftLab</v>
      </c>
      <c r="D25">
        <v>17</v>
      </c>
      <c r="E25" t="str" cm="1">
        <f t="array" ref="E25">GetValue("Typ","Name",D25)</f>
        <v>nchar(n)</v>
      </c>
      <c r="F25" t="str" cm="1">
        <f t="array" ref="F25">GetValue("Typ","#CategoryName",D25)</f>
        <v>string</v>
      </c>
      <c r="G25" t="str">
        <v>CNPJ</v>
      </c>
      <c r="H25">
        <v>14</v>
      </c>
    </row>
    <row r="26">
      <c r="A26">
        <f>ROW(A26)-1</f>
        <v>25</v>
      </c>
      <c r="B26">
        <v>1</v>
      </c>
      <c r="C26" t="str" cm="1">
        <f t="array" ref="C26">GetValue("Own","Name",B26)</f>
        <v>SoftLab</v>
      </c>
      <c r="D26">
        <v>20</v>
      </c>
      <c r="E26" t="str" cm="1">
        <f t="array" ref="E26">GetValue("Typ","Name",D26)</f>
        <v>nvarchar(n)</v>
      </c>
      <c r="F26" t="str" cm="1">
        <f t="array" ref="F26">GetValue("Typ","#CategoryName",D26)</f>
        <v>string</v>
      </c>
      <c r="G26" t="str">
        <v>RAIZ/CPF/CNPJ</v>
      </c>
      <c r="H26">
        <v>14</v>
      </c>
    </row>
    <row r="27">
      <c r="A27">
        <f>ROW(A27)-1</f>
        <v>26</v>
      </c>
      <c r="B27">
        <v>1</v>
      </c>
      <c r="C27" t="str" cm="1">
        <f t="array" ref="C27">GetValue("Own","Name",B27)</f>
        <v>SoftLab</v>
      </c>
      <c r="D27">
        <v>20</v>
      </c>
      <c r="E27" t="str" cm="1">
        <f t="array" ref="E27">GetValue("Typ","Name",D27)</f>
        <v>nvarchar(n)</v>
      </c>
      <c r="F27" t="str" cm="1">
        <f t="array" ref="F27">GetValue("Typ","#CategoryName",D27)</f>
        <v>string</v>
      </c>
      <c r="G27" t="str">
        <v>CAEPF</v>
      </c>
      <c r="H27">
        <v>14</v>
      </c>
    </row>
    <row r="28">
      <c r="A28">
        <f>ROW(A28)-1</f>
        <v>27</v>
      </c>
      <c r="B28">
        <v>1</v>
      </c>
      <c r="C28" t="str" cm="1">
        <f t="array" ref="C28">GetValue("Own","Name",B28)</f>
        <v>SoftLab</v>
      </c>
      <c r="D28">
        <v>20</v>
      </c>
      <c r="E28" t="str" cm="1">
        <f t="array" ref="E28">GetValue("Typ","Name",D28)</f>
        <v>nvarchar(n)</v>
      </c>
      <c r="F28" t="str" cm="1">
        <f t="array" ref="F28">GetValue("Typ","#CategoryName",D28)</f>
        <v>string</v>
      </c>
      <c r="G28" t="str">
        <v>CREDIT CARD</v>
      </c>
      <c r="H28">
        <v>16</v>
      </c>
    </row>
    <row r="29">
      <c r="A29">
        <f>ROW(A29)-1</f>
        <v>28</v>
      </c>
      <c r="B29">
        <v>1</v>
      </c>
      <c r="C29" t="str" cm="1">
        <f t="array" ref="C29">GetValue("Own","Name",B29)</f>
        <v>SoftLab</v>
      </c>
      <c r="D29">
        <v>20</v>
      </c>
      <c r="E29" t="str" cm="1">
        <f t="array" ref="E29">GetValue("Typ","Name",D29)</f>
        <v>nvarchar(n)</v>
      </c>
      <c r="F29" t="str" cm="1">
        <f t="array" ref="F29">GetValue("Typ","#CategoryName",D29)</f>
        <v>string</v>
      </c>
      <c r="G29" t="str">
        <v>RENAVAM</v>
      </c>
      <c r="H29">
        <v>11</v>
      </c>
    </row>
    <row r="30">
      <c r="A30">
        <f>ROW(A30)-1</f>
        <v>29</v>
      </c>
      <c r="B30">
        <v>1</v>
      </c>
      <c r="C30" t="str" cm="1">
        <f t="array" ref="C30">GetValue("Own","Name",B30)</f>
        <v>SoftLab</v>
      </c>
      <c r="D30">
        <v>20</v>
      </c>
      <c r="E30" t="str" cm="1">
        <f t="array" ref="E30">GetValue("Typ","Name",D30)</f>
        <v>nvarchar(n)</v>
      </c>
      <c r="F30" t="str" cm="1">
        <f t="array" ref="F30">GetValue("Typ","#CategoryName",D30)</f>
        <v>string</v>
      </c>
      <c r="G30" t="str">
        <v>EAN-8</v>
      </c>
      <c r="H30">
        <v>8</v>
      </c>
    </row>
    <row r="31">
      <c r="A31">
        <f>ROW(A31)-1</f>
        <v>30</v>
      </c>
      <c r="B31">
        <v>1</v>
      </c>
      <c r="C31" t="str" cm="1">
        <f t="array" ref="C31">GetValue("Own","Name",B31)</f>
        <v>SoftLab</v>
      </c>
      <c r="D31">
        <v>20</v>
      </c>
      <c r="E31" t="str" cm="1">
        <f t="array" ref="E31">GetValue("Typ","Name",D31)</f>
        <v>nvarchar(n)</v>
      </c>
      <c r="F31" t="str" cm="1">
        <f t="array" ref="F31">GetValue("Typ","#CategoryName",D31)</f>
        <v>string</v>
      </c>
      <c r="G31" t="str">
        <v>ISBN-10</v>
      </c>
      <c r="H31">
        <v>10</v>
      </c>
    </row>
    <row r="32">
      <c r="A32">
        <f>ROW(A32)-1</f>
        <v>31</v>
      </c>
      <c r="B32">
        <v>1</v>
      </c>
      <c r="C32" t="str" cm="1">
        <f t="array" ref="C32">GetValue("Own","Name",B32)</f>
        <v>SoftLab</v>
      </c>
      <c r="D32">
        <v>20</v>
      </c>
      <c r="E32" t="str" cm="1">
        <f t="array" ref="E32">GetValue("Typ","Name",D32)</f>
        <v>nvarchar(n)</v>
      </c>
      <c r="F32" t="str" cm="1">
        <f t="array" ref="F32">GetValue("Typ","#CategoryName",D32)</f>
        <v>string</v>
      </c>
      <c r="G32" t="str">
        <v>ISBN-13</v>
      </c>
      <c r="H32">
        <v>13</v>
      </c>
    </row>
    <row r="33">
      <c r="A33">
        <f>ROW(A33)-1</f>
        <v>32</v>
      </c>
      <c r="B33">
        <v>1</v>
      </c>
      <c r="C33" t="str" cm="1">
        <f t="array" ref="C33">GetValue("Own","Name",B33)</f>
        <v>SoftLab</v>
      </c>
      <c r="D33">
        <v>20</v>
      </c>
      <c r="E33" t="str" cm="1">
        <f t="array" ref="E33">GetValue("Typ","Name",D33)</f>
        <v>nvarchar(n)</v>
      </c>
      <c r="F33" t="str" cm="1">
        <f t="array" ref="F33">GetValue("Typ","#CategoryName",D33)</f>
        <v>string</v>
      </c>
      <c r="G33" t="str">
        <v>ISSN</v>
      </c>
      <c r="H33">
        <v>8</v>
      </c>
    </row>
    <row r="34">
      <c r="A34">
        <f>ROW(A34)-1</f>
        <v>33</v>
      </c>
      <c r="B34">
        <v>1</v>
      </c>
      <c r="C34" t="str" cm="1">
        <f t="array" ref="C34">GetValue("Own","Name",B34)</f>
        <v>SoftLab</v>
      </c>
      <c r="D34">
        <v>17</v>
      </c>
      <c r="E34" t="str" cm="1">
        <f t="array" ref="E34">GetValue("Typ","Name",D34)</f>
        <v>nchar(n)</v>
      </c>
      <c r="F34" t="str" cm="1">
        <f t="array" ref="F34">GetValue("Typ","#CategoryName",D34)</f>
        <v>string</v>
      </c>
      <c r="G34" t="str">
        <v>CEP (BR)</v>
      </c>
      <c r="H34">
        <v>8</v>
      </c>
    </row>
    <row r="35">
      <c r="A35">
        <f>ROW(A35)-1</f>
        <v>34</v>
      </c>
      <c r="B35">
        <v>1</v>
      </c>
      <c r="C35" t="str" cm="1">
        <f t="array" ref="C35">GetValue("Own","Name",B35)</f>
        <v>SoftLab</v>
      </c>
      <c r="D35">
        <v>17</v>
      </c>
      <c r="E35" t="str" cm="1">
        <f t="array" ref="E35">GetValue("Typ","Name",D35)</f>
        <v>nchar(n)</v>
      </c>
      <c r="F35" t="str" cm="1">
        <f t="array" ref="F35">GetValue("Typ","#CategoryName",D35)</f>
        <v>string</v>
      </c>
      <c r="G35" t="str">
        <v>NIS/PIS/PASEP</v>
      </c>
      <c r="H35">
        <v>10</v>
      </c>
    </row>
    <row r="36">
      <c r="A36">
        <f>ROW(A36)-1</f>
        <v>35</v>
      </c>
      <c r="B36">
        <v>1</v>
      </c>
      <c r="C36" t="str" cm="1">
        <f t="array" ref="C36">GetValue("Own","Name",B36)</f>
        <v>SoftLab</v>
      </c>
      <c r="D36">
        <v>17</v>
      </c>
      <c r="E36" t="str" cm="1">
        <f t="array" ref="E36">GetValue("Typ","Name",D36)</f>
        <v>nchar(n)</v>
      </c>
      <c r="F36" t="str" cm="1">
        <f t="array" ref="F36">GetValue("Typ","#CategoryName",D36)</f>
        <v>string</v>
      </c>
      <c r="G36" t="str">
        <v>CNH</v>
      </c>
      <c r="H36">
        <v>11</v>
      </c>
    </row>
    <row r="37">
      <c r="A37">
        <f>ROW(A37)-1</f>
        <v>36</v>
      </c>
      <c r="B37">
        <v>1</v>
      </c>
      <c r="C37" t="str" cm="1">
        <f t="array" ref="C37">GetValue("Own","Name",B37)</f>
        <v>SoftLab</v>
      </c>
      <c r="D37">
        <v>17</v>
      </c>
      <c r="E37" t="str" cm="1">
        <f t="array" ref="E37">GetValue("Typ","Name",D37)</f>
        <v>nchar(n)</v>
      </c>
      <c r="F37" t="str" cm="1">
        <f t="array" ref="F37">GetValue("Typ","#CategoryName",D37)</f>
        <v>string</v>
      </c>
      <c r="G37" t="str">
        <v>Fone (BR)</v>
      </c>
      <c r="H37">
        <v>10</v>
      </c>
    </row>
    <row r="38">
      <c r="A38">
        <f>ROW(A38)-1</f>
        <v>37</v>
      </c>
      <c r="B38">
        <v>1</v>
      </c>
      <c r="C38" t="str" cm="1">
        <f t="array" ref="C38">GetValue("Own","Name",B38)</f>
        <v>SoftLab</v>
      </c>
      <c r="D38">
        <v>17</v>
      </c>
      <c r="E38" t="str" cm="1">
        <f t="array" ref="E38">GetValue("Typ","Name",D38)</f>
        <v>nchar(n)</v>
      </c>
      <c r="F38" t="str" cm="1">
        <f t="array" ref="F38">GetValue("Typ","#CategoryName",D38)</f>
        <v>string</v>
      </c>
      <c r="G38" t="str">
        <v>Celular (BR)</v>
      </c>
      <c r="H38">
        <v>11</v>
      </c>
    </row>
    <row r="39">
      <c r="A39">
        <f>ROW(A39)-1</f>
        <v>38</v>
      </c>
      <c r="B39">
        <v>1</v>
      </c>
      <c r="C39" t="str" cm="1">
        <f t="array" ref="C39">GetValue("Own","Name",B39)</f>
        <v>SoftLab</v>
      </c>
      <c r="D39">
        <v>17</v>
      </c>
      <c r="E39" t="str" cm="1">
        <f t="array" ref="E39">GetValue("Typ","Name",D39)</f>
        <v>nchar(n)</v>
      </c>
      <c r="F39" t="str" cm="1">
        <f t="array" ref="F39">GetValue("Typ","#CategoryName",D39)</f>
        <v>string</v>
      </c>
      <c r="G39" t="str">
        <v>Placa Veicular (BR)</v>
      </c>
      <c r="H39">
        <v>7</v>
      </c>
    </row>
    <row r="40">
      <c r="A40">
        <f>ROW(A40)-1</f>
        <v>39</v>
      </c>
      <c r="B40">
        <v>1</v>
      </c>
      <c r="C40" t="str" cm="1">
        <f t="array" ref="C40">GetValue("Own","Name",B40)</f>
        <v>SoftLab</v>
      </c>
      <c r="D40">
        <v>17</v>
      </c>
      <c r="E40" t="str" cm="1">
        <f t="array" ref="E40">GetValue("Typ","Name",D40)</f>
        <v>nchar(n)</v>
      </c>
      <c r="F40" t="str" cm="1">
        <f t="array" ref="F40">GetValue("Typ","#CategoryName",D40)</f>
        <v>string</v>
      </c>
      <c r="G40" t="str">
        <v>Placa MERCOSUL</v>
      </c>
      <c r="H40">
        <v>7</v>
      </c>
    </row>
    <row r="41">
      <c r="A41">
        <f>ROW(A41)-1</f>
        <v>40</v>
      </c>
      <c r="B41">
        <v>1</v>
      </c>
      <c r="C41" t="str" cm="1">
        <f t="array" ref="C41">GetValue("Own","Name",B41)</f>
        <v>SoftLab</v>
      </c>
      <c r="D41">
        <v>17</v>
      </c>
      <c r="E41" t="str" cm="1">
        <f t="array" ref="E41">GetValue("Typ","Name",D41)</f>
        <v>nchar(n)</v>
      </c>
      <c r="F41" t="str" cm="1">
        <f t="array" ref="F41">GetValue("Typ","#CategoryName",D41)</f>
        <v>string</v>
      </c>
      <c r="G41" t="str">
        <v>Título de Eleitor</v>
      </c>
      <c r="H41">
        <v>12</v>
      </c>
    </row>
    <row r="42">
      <c r="A42">
        <f>ROW(A42)-1</f>
        <v>41</v>
      </c>
      <c r="B42">
        <v>1</v>
      </c>
      <c r="C42" t="str" cm="1">
        <f t="array" ref="C42">GetValue("Own","Name",B42)</f>
        <v>SoftLab</v>
      </c>
      <c r="D42">
        <v>9</v>
      </c>
      <c r="E42" t="str" cm="1">
        <f t="array" ref="E42">GetValue("Typ","Name",D42)</f>
        <v>decimal(p ,s)</v>
      </c>
      <c r="F42" t="str" cm="1">
        <f t="array" ref="F42">GetValue("Typ","#CategoryName",D42)</f>
        <v>number</v>
      </c>
      <c r="G42" t="str">
        <v>MONEY</v>
      </c>
      <c r="H42">
        <v>19</v>
      </c>
      <c r="I42">
        <v>2</v>
      </c>
    </row>
    <row r="43">
      <c r="A43">
        <f>ROW(A43)-1</f>
        <v>42</v>
      </c>
      <c r="B43">
        <v>1</v>
      </c>
      <c r="C43" t="str" cm="1">
        <f t="array" ref="C43">GetValue("Own","Name",B43)</f>
        <v>SoftLab</v>
      </c>
      <c r="D43">
        <v>21</v>
      </c>
      <c r="E43" t="str" cm="1">
        <f t="array" ref="E43">GetValue("Typ","Name",D43)</f>
        <v>nvarchar(max)</v>
      </c>
      <c r="F43" t="str" cm="1">
        <f t="array" ref="F43">GetValue("Typ","#CategoryName",D43)</f>
        <v>text</v>
      </c>
      <c r="G43" t="str">
        <v>VARIANT</v>
      </c>
    </row>
    <row r="44">
      <c r="A44">
        <f>ROW(A44)-1</f>
        <v>43</v>
      </c>
      <c r="B44">
        <v>1</v>
      </c>
      <c r="C44" t="str" cm="1">
        <f t="array" ref="C44">GetValue("Own","Name",B44)</f>
        <v>SoftLab</v>
      </c>
      <c r="D44">
        <v>21</v>
      </c>
      <c r="E44" t="str" cm="1">
        <f t="array" ref="E44">GetValue("Typ","Name",D44)</f>
        <v>nvarchar(max)</v>
      </c>
      <c r="F44" t="str" cm="1">
        <f t="array" ref="F44">GetValue("Typ","#CategoryName",D44)</f>
        <v>text</v>
      </c>
      <c r="G44" t="str">
        <v>CRUD Operation</v>
      </c>
      <c r="H44">
        <v>10</v>
      </c>
      <c r="N44" t="str">
        <v>create;read;update;delete</v>
      </c>
    </row>
    <row r="45">
      <c r="A45">
        <f>ROW(A45)-1</f>
        <v>44</v>
      </c>
      <c r="B45">
        <v>1</v>
      </c>
      <c r="C45" t="str" cm="1">
        <f t="array" ref="C45">GetValue("Own","Name",B45)</f>
        <v>SoftLab</v>
      </c>
      <c r="D45">
        <v>21</v>
      </c>
      <c r="E45" t="str" cm="1">
        <f t="array" ref="E45">GetValue("Typ","Name",D45)</f>
        <v>nvarchar(max)</v>
      </c>
      <c r="F45" t="str" cm="1">
        <f t="array" ref="F45">GetValue("Typ","#CategoryName",D45)</f>
        <v>text</v>
      </c>
      <c r="G45" t="str">
        <v>Periodicity</v>
      </c>
      <c r="H45">
        <v>10</v>
      </c>
      <c r="N45" t="str">
        <v>second;minute;hour;day;week;month;year</v>
      </c>
    </row>
    <row r="46">
      <c r="A46">
        <f>ROW(A46)-1</f>
        <v>45</v>
      </c>
      <c r="B46">
        <v>1</v>
      </c>
      <c r="C46" t="str" cm="1">
        <f t="array" ref="C46">GetValue("Own","Name",B46)</f>
        <v>SoftLab</v>
      </c>
      <c r="D46">
        <v>21</v>
      </c>
      <c r="E46" t="str" cm="1">
        <f t="array" ref="E46">GetValue("Typ","Name",D46)</f>
        <v>nvarchar(max)</v>
      </c>
      <c r="F46" t="str" cm="1">
        <f t="array" ref="F46">GetValue("Typ","#CategoryName",D46)</f>
        <v>text</v>
      </c>
      <c r="G46" t="str">
        <v>Logical Connector</v>
      </c>
      <c r="H46">
        <v>5</v>
      </c>
      <c r="N46" t="str">
        <v>AND;OR</v>
      </c>
    </row>
    <row r="47">
      <c r="A47">
        <f>ROW(A47)-1</f>
        <v>46</v>
      </c>
      <c r="B47">
        <v>1</v>
      </c>
      <c r="C47" t="str" cm="1">
        <f t="array" ref="C47">GetValue("Own","Name",B47)</f>
        <v>SoftLab</v>
      </c>
      <c r="D47">
        <v>20</v>
      </c>
      <c r="E47" t="str" cm="1">
        <f t="array" ref="E47">GetValue("Typ","Name",D47)</f>
        <v>nvarchar(n)</v>
      </c>
      <c r="F47" t="str" cm="1">
        <f t="array" ref="F47">GetValue("Typ","#CategoryName",D47)</f>
        <v>string</v>
      </c>
      <c r="G47" t="str">
        <v>Left Parenthesis</v>
      </c>
      <c r="H47">
        <v>10</v>
      </c>
      <c r="M47" t="str">
        <v>(</v>
      </c>
    </row>
    <row r="48">
      <c r="A48">
        <f>ROW(A48)-1</f>
        <v>47</v>
      </c>
      <c r="B48">
        <v>1</v>
      </c>
      <c r="C48" t="str" cm="1">
        <f t="array" ref="C48">GetValue("Own","Name",B48)</f>
        <v>SoftLab</v>
      </c>
      <c r="D48">
        <v>20</v>
      </c>
      <c r="E48" t="str" cm="1">
        <f t="array" ref="E48">GetValue("Typ","Name",D48)</f>
        <v>nvarchar(n)</v>
      </c>
      <c r="F48" t="str" cm="1">
        <f t="array" ref="F48">GetValue("Typ","#CategoryName",D48)</f>
        <v>string</v>
      </c>
      <c r="G48" t="str">
        <v>Right Parenthesis</v>
      </c>
      <c r="H48">
        <v>10</v>
      </c>
      <c r="M48" t="str">
        <v>)</v>
      </c>
    </row>
    <row r="49">
      <c r="A49">
        <f>ROW(A49)-1</f>
        <v>48</v>
      </c>
      <c r="B49">
        <v>1</v>
      </c>
      <c r="C49" t="str" cm="1">
        <f t="array" ref="C49">GetValue("Own","Name",B49)</f>
        <v>SoftLab</v>
      </c>
      <c r="D49">
        <v>20</v>
      </c>
      <c r="E49" t="str" cm="1">
        <f t="array" ref="E49">GetValue("Typ","Name",D49)</f>
        <v>nvarchar(n)</v>
      </c>
      <c r="F49" t="str" cm="1">
        <f t="array" ref="F49">GetValue("Typ","#CategoryName",D49)</f>
        <v>string</v>
      </c>
      <c r="G49" t="str">
        <v>Fetch Method</v>
      </c>
      <c r="H49">
        <v>10</v>
      </c>
      <c r="N49" t="str">
        <v>GET;POST;PUT;DELETE;PATCH</v>
      </c>
    </row>
    <row r="50">
      <c r="A50">
        <f>ROW(A50)-1</f>
        <v>49</v>
      </c>
      <c r="B50">
        <v>1</v>
      </c>
      <c r="C50" t="str" cm="1">
        <f t="array" ref="C50">GetValue("Own","Name",B50)</f>
        <v>SoftLab</v>
      </c>
      <c r="D50">
        <v>21</v>
      </c>
      <c r="E50" t="str" cm="1">
        <f t="array" ref="E50">GetValue("Typ","Name",D50)</f>
        <v>nvarchar(max)</v>
      </c>
      <c r="F50" t="str" cm="1">
        <f t="array" ref="F50">GetValue("Typ","#CategoryName",D50)</f>
        <v>text</v>
      </c>
      <c r="G50" t="str">
        <v>Mask Modificators</v>
      </c>
      <c r="O50" t="str">
        <v>left;right;upper;lower;space</v>
      </c>
    </row>
    <row r="51">
      <c r="A51">
        <f>ROW(A51)-1</f>
        <v>50</v>
      </c>
      <c r="B51">
        <v>1</v>
      </c>
      <c r="C51" t="str" cm="1">
        <f t="array" ref="C51">GetValue("Own","Name",B51)</f>
        <v>SoftLab</v>
      </c>
      <c r="D51">
        <v>38</v>
      </c>
      <c r="E51" t="str" cm="1">
        <f t="array" ref="E51">GetValue("Typ","Name",D51)</f>
        <v>json</v>
      </c>
      <c r="F51" t="str" cm="1">
        <f t="array" ref="F51">GetValue("Typ","#CategoryName",D51)</f>
        <v>text</v>
      </c>
      <c r="G51" t="str">
        <v>JSON</v>
      </c>
    </row>
    <row r="52">
      <c r="A52">
        <f>ROW(A52)-1</f>
        <v>51</v>
      </c>
      <c r="B52">
        <v>1</v>
      </c>
      <c r="C52" t="str" cm="1">
        <f t="array" ref="C52">GetValue("Own","Name",B52)</f>
        <v>SoftLab</v>
      </c>
      <c r="D52">
        <v>29</v>
      </c>
      <c r="E52" t="str" cm="1">
        <f t="array" ref="E52">GetValue("Typ","Name",D52)</f>
        <v>time(s)</v>
      </c>
      <c r="F52" t="str" cm="1">
        <f t="array" ref="F52">GetValue("Typ","#CategoryName",D52)</f>
        <v>time</v>
      </c>
      <c r="G52" t="str">
        <v>TIME</v>
      </c>
    </row>
    <row r="53">
      <c r="A53">
        <f>ROW(A53)-1</f>
        <v>52</v>
      </c>
      <c r="B53">
        <v>1</v>
      </c>
      <c r="C53" t="str" cm="1">
        <f t="array" ref="C53">GetValue("Own","Name",B53)</f>
        <v>SoftLab</v>
      </c>
      <c r="D53">
        <v>5</v>
      </c>
      <c r="E53" t="str" cm="1">
        <f t="array" ref="E53">GetValue("Typ","Name",D53)</f>
        <v>date</v>
      </c>
      <c r="F53" t="str" cm="1">
        <f t="array" ref="F53">GetValue("Typ","#CategoryName",D53)</f>
        <v>date</v>
      </c>
      <c r="G53" t="str">
        <v>DATE</v>
      </c>
    </row>
    <row r="54">
      <c r="A54">
        <f>ROW(A54)-1</f>
        <v>53</v>
      </c>
      <c r="B54">
        <v>1</v>
      </c>
      <c r="C54" t="str" cm="1">
        <f t="array" ref="C54">GetValue("Own","Name",B54)</f>
        <v>SoftLab</v>
      </c>
      <c r="D54">
        <v>36</v>
      </c>
      <c r="E54" t="str" cm="1">
        <f t="array" ref="E54">GetValue("Typ","Name",D54)</f>
        <v>varchar(max)</v>
      </c>
      <c r="F54" t="str" cm="1">
        <f t="array" ref="F54">GetValue("Typ","#CategoryName",D54)</f>
        <v>text</v>
      </c>
      <c r="G54" t="str">
        <v>IMAGE</v>
      </c>
    </row>
  </sheetData>
  <pageMargins left="0.511811024" right="0.511811024" top="0.787401575" bottom="0.787401575" header="0.31496062" footer="0.31496062"/>
  <ignoredErrors>
    <ignoredError numberStoredAsText="1" sqref="A1:O54"/>
  </ignoredErrors>
</worksheet>
</file>

<file path=xl/worksheets/sheet9.xml><?xml version="1.0" encoding="utf-8"?>
<worksheet xmlns="http://schemas.openxmlformats.org/spreadsheetml/2006/main" xmlns:r="http://schemas.openxmlformats.org/officeDocument/2006/relationships">
  <dimension ref="A1:H20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Name</v>
      </c>
      <c r="E1" t="str">
        <v>Mask</v>
      </c>
      <c r="F1" t="str">
        <v>Modificators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D2" t="str">
        <v>RAIZ CNPJ</v>
      </c>
      <c r="E2">
        <v>99999999</v>
      </c>
      <c r="F2" t="str">
        <v>left</v>
      </c>
    </row>
    <row r="3">
      <c r="A3">
        <f>ROW(A3)-1</f>
        <v>2</v>
      </c>
      <c r="B3">
        <v>1</v>
      </c>
      <c r="C3" t="str" cm="1">
        <f t="array" ref="C3">GetValue("Own","Name",B3)</f>
        <v>SoftLab</v>
      </c>
      <c r="D3" t="str">
        <v>CPF</v>
      </c>
      <c r="E3" t="str">
        <v>999.999.999-99</v>
      </c>
      <c r="F3" t="str">
        <v>left</v>
      </c>
      <c r="H3" t="str">
        <v>EditMask: cada # é um caracter alfanumérico ou especial.</v>
      </c>
    </row>
    <row r="4">
      <c r="A4">
        <f>ROW(A4)-1</f>
        <v>3</v>
      </c>
      <c r="B4">
        <v>1</v>
      </c>
      <c r="C4" t="str" cm="1">
        <f t="array" ref="C4">GetValue("Own","Name",B4)</f>
        <v>SoftLab</v>
      </c>
      <c r="D4" t="str">
        <v>CNPJ</v>
      </c>
      <c r="E4" t="str">
        <v>99.999.999/9999-99</v>
      </c>
      <c r="F4" t="str">
        <v>left</v>
      </c>
      <c r="H4" t="str">
        <v>ValidMask: 9 = numérico; A = alfabético; X = alfanumérico; # = alfanumérico ou especial</v>
      </c>
    </row>
    <row r="5">
      <c r="A5">
        <f>ROW(A5)-1</f>
        <v>4</v>
      </c>
      <c r="B5">
        <v>1</v>
      </c>
      <c r="C5" t="str" cm="1">
        <f t="array" ref="C5">GetValue("Own","Name",B5)</f>
        <v>SoftLab</v>
      </c>
      <c r="D5" t="str">
        <v>CAEPF</v>
      </c>
      <c r="E5" t="str">
        <v>999.99.999/999-99</v>
      </c>
      <c r="F5" t="str">
        <v>left</v>
      </c>
    </row>
    <row r="6">
      <c r="A6">
        <f>ROW(A6)-1</f>
        <v>5</v>
      </c>
      <c r="B6">
        <v>1</v>
      </c>
      <c r="C6" t="str" cm="1">
        <f t="array" ref="C6">GetValue("Own","Name",B6)</f>
        <v>SoftLab</v>
      </c>
      <c r="D6" t="str">
        <v>Credit Card</v>
      </c>
      <c r="E6" t="str">
        <v>9999 9999 9999 9999</v>
      </c>
      <c r="F6" t="str">
        <v>left</v>
      </c>
    </row>
    <row r="7">
      <c r="A7">
        <f>ROW(A7)-1</f>
        <v>6</v>
      </c>
      <c r="B7">
        <v>1</v>
      </c>
      <c r="C7" t="str" cm="1">
        <f t="array" ref="C7">GetValue("Own","Name",B7)</f>
        <v>SoftLab</v>
      </c>
      <c r="D7" t="str">
        <v>RENAVAM</v>
      </c>
      <c r="E7">
        <v>99999999999</v>
      </c>
      <c r="F7" t="str">
        <v>left</v>
      </c>
    </row>
    <row r="8">
      <c r="A8">
        <f>ROW(A8)-1</f>
        <v>7</v>
      </c>
      <c r="B8">
        <v>1</v>
      </c>
      <c r="C8" t="str" cm="1">
        <f t="array" ref="C8">GetValue("Own","Name",B8)</f>
        <v>SoftLab</v>
      </c>
      <c r="D8" t="str">
        <v>EAN-8</v>
      </c>
      <c r="E8">
        <v>99999999</v>
      </c>
      <c r="F8" t="str">
        <v>left</v>
      </c>
    </row>
    <row r="9">
      <c r="A9">
        <f>ROW(A9)-1</f>
        <v>8</v>
      </c>
      <c r="B9">
        <v>1</v>
      </c>
      <c r="C9" t="str" cm="1">
        <f t="array" ref="C9">GetValue("Own","Name",B9)</f>
        <v>SoftLab</v>
      </c>
      <c r="D9" t="str">
        <v>EAN-13</v>
      </c>
      <c r="E9" t="str">
        <v>9 999999 999999</v>
      </c>
      <c r="F9" t="str">
        <v>left</v>
      </c>
    </row>
    <row r="10">
      <c r="A10">
        <f>ROW(A10)-1</f>
        <v>9</v>
      </c>
      <c r="B10">
        <v>1</v>
      </c>
      <c r="C10" t="str" cm="1">
        <f t="array" ref="C10">GetValue("Own","Name",B10)</f>
        <v>SoftLab</v>
      </c>
      <c r="D10" t="str">
        <v>ISBN-10</v>
      </c>
      <c r="E10" t="str">
        <v>9-9999-9999-9</v>
      </c>
      <c r="F10" t="str">
        <v>left</v>
      </c>
    </row>
    <row r="11">
      <c r="A11">
        <f>ROW(A11)-1</f>
        <v>10</v>
      </c>
      <c r="B11">
        <v>1</v>
      </c>
      <c r="C11" t="str" cm="1">
        <f t="array" ref="C11">GetValue("Own","Name",B11)</f>
        <v>SoftLab</v>
      </c>
      <c r="D11" t="str">
        <v>ISBN-13</v>
      </c>
      <c r="E11" t="str">
        <v>999-99-999-9999-9</v>
      </c>
      <c r="F11" t="str">
        <v>left</v>
      </c>
    </row>
    <row r="12">
      <c r="A12">
        <f>ROW(A12)-1</f>
        <v>11</v>
      </c>
      <c r="B12">
        <v>1</v>
      </c>
      <c r="C12" t="str" cm="1">
        <f t="array" ref="C12">GetValue("Own","Name",B12)</f>
        <v>SoftLab</v>
      </c>
      <c r="D12" t="str">
        <v>ISSN</v>
      </c>
      <c r="E12" t="str">
        <v>9999-999X</v>
      </c>
      <c r="F12" t="str">
        <v>left;upper</v>
      </c>
    </row>
    <row r="13">
      <c r="A13">
        <f>ROW(A13)-1</f>
        <v>12</v>
      </c>
      <c r="B13">
        <v>1</v>
      </c>
      <c r="C13" t="str" cm="1">
        <f t="array" ref="C13">GetValue("Own","Name",B13)</f>
        <v>SoftLab</v>
      </c>
      <c r="D13" t="str">
        <v>CEP (BR)</v>
      </c>
      <c r="E13" t="str">
        <v>99999-999</v>
      </c>
      <c r="F13" t="str">
        <v>left</v>
      </c>
    </row>
    <row r="14">
      <c r="A14">
        <f>ROW(A14)-1</f>
        <v>13</v>
      </c>
      <c r="B14">
        <v>1</v>
      </c>
      <c r="C14" t="str" cm="1">
        <f t="array" ref="C14">GetValue("Own","Name",B14)</f>
        <v>SoftLab</v>
      </c>
      <c r="D14" t="str">
        <v>Fone (BR)</v>
      </c>
      <c r="E14" t="str">
        <v>(99) 9999-9999</v>
      </c>
      <c r="F14" t="str">
        <v>left</v>
      </c>
    </row>
    <row r="15">
      <c r="A15">
        <f>ROW(A15)-1</f>
        <v>14</v>
      </c>
      <c r="B15">
        <v>1</v>
      </c>
      <c r="C15" t="str" cm="1">
        <f t="array" ref="C15">GetValue("Own","Name",B15)</f>
        <v>SoftLab</v>
      </c>
      <c r="D15" t="str">
        <v>Celular (BR)</v>
      </c>
      <c r="E15" t="str">
        <v>(99) 9 9999-9999</v>
      </c>
      <c r="F15" t="str">
        <v>left</v>
      </c>
    </row>
    <row r="16">
      <c r="A16">
        <f>ROW(A16)-1</f>
        <v>15</v>
      </c>
      <c r="B16">
        <v>1</v>
      </c>
      <c r="C16" t="str" cm="1">
        <f t="array" ref="C16">GetValue("Own","Name",B16)</f>
        <v>SoftLab</v>
      </c>
      <c r="D16" t="str">
        <v>Placa Veicular (BR)</v>
      </c>
      <c r="E16" t="str">
        <v>AAA-9999</v>
      </c>
      <c r="F16" t="str">
        <v>left;upper</v>
      </c>
    </row>
    <row r="17">
      <c r="A17">
        <f>ROW(A17)-1</f>
        <v>16</v>
      </c>
      <c r="B17">
        <v>1</v>
      </c>
      <c r="C17" t="str" cm="1">
        <f t="array" ref="C17">GetValue("Own","Name",B17)</f>
        <v>SoftLab</v>
      </c>
      <c r="D17" t="str">
        <v>Placa MERCOSUL</v>
      </c>
      <c r="E17" t="str">
        <v>AAA9X99</v>
      </c>
      <c r="F17" t="str">
        <v>left;upper</v>
      </c>
    </row>
    <row r="18">
      <c r="A18">
        <f>ROW(A18)-1</f>
        <v>17</v>
      </c>
      <c r="B18">
        <v>1</v>
      </c>
      <c r="C18" t="str" cm="1">
        <f t="array" ref="C18">GetValue("Own","Name",B18)</f>
        <v>SoftLab</v>
      </c>
      <c r="D18" t="str">
        <v>NIS/PIS/PASEP</v>
      </c>
      <c r="E18" t="str">
        <v>999.99999.99-9</v>
      </c>
      <c r="F18" t="str">
        <v>left</v>
      </c>
    </row>
    <row r="19">
      <c r="A19">
        <f>ROW(A19)-1</f>
        <v>18</v>
      </c>
      <c r="B19">
        <v>1</v>
      </c>
      <c r="C19" t="str" cm="1">
        <f t="array" ref="C19">GetValue("Own","Name",B19)</f>
        <v>SoftLab</v>
      </c>
      <c r="D19" t="str">
        <v>Título de Eleitor</v>
      </c>
      <c r="E19" t="str">
        <v>9999 9999 9999</v>
      </c>
      <c r="F19" t="str">
        <v>left</v>
      </c>
    </row>
    <row r="20">
      <c r="A20">
        <f>ROW(A20)-1</f>
        <v>19</v>
      </c>
      <c r="B20">
        <v>1</v>
      </c>
      <c r="C20" t="str" cm="1">
        <f t="array" ref="C20">GetValue("Own","Name",B20)</f>
        <v>SoftLab</v>
      </c>
      <c r="D20" t="str">
        <v>CNH</v>
      </c>
      <c r="E20">
        <v>99999999999</v>
      </c>
      <c r="F20" t="str">
        <v>left</v>
      </c>
    </row>
  </sheetData>
  <pageMargins left="0.511811024" right="0.511811024" top="0.787401575" bottom="0.787401575" header="0.31496062" footer="0.31496062"/>
  <ignoredErrors>
    <ignoredError numberStoredAsText="1" sqref="A1:H20"/>
  </ignoredErrors>
</worksheet>
</file>

<file path=xl/worksheets/sheet10.xml><?xml version="1.0" encoding="utf-8"?>
<worksheet xmlns="http://schemas.openxmlformats.org/spreadsheetml/2006/main" xmlns:r="http://schemas.openxmlformats.org/officeDocument/2006/relationships">
  <dimension ref="A1:H20"/>
  <sheetViews>
    <sheetView workbookViewId="0" rightToLeft="0"/>
  </sheetViews>
  <sheetData>
    <row r="1">
      <c r="A1" t="str">
        <v>*Id</v>
      </c>
      <c r="B1" t="str">
        <v>DomainId</v>
      </c>
      <c r="C1" t="str">
        <v>#DomainName</v>
      </c>
      <c r="D1" t="str">
        <v>MaskId</v>
      </c>
      <c r="E1" t="str">
        <v>#MaskName</v>
      </c>
      <c r="F1" t="str">
        <v>CheckDigitModule</v>
      </c>
      <c r="G1" t="str">
        <v>CheckDigitFactors</v>
      </c>
      <c r="H1" t="str">
        <v>CheckDigitGreaterThanNine</v>
      </c>
    </row>
    <row r="2">
      <c r="A2">
        <f>ROW(A2)-1</f>
        <v>1</v>
      </c>
      <c r="B2">
        <v>21</v>
      </c>
      <c r="C2" t="str" cm="1">
        <f t="array" ref="C2">GetValue("Dmn","Name",B2)</f>
        <v>CHAR(1)</v>
      </c>
      <c r="D2">
        <v>1</v>
      </c>
      <c r="E2" t="str" cm="1">
        <f t="array" ref="E2">GetValue("Msk","Name",D2)</f>
        <v>RAIZ CNPJ</v>
      </c>
    </row>
    <row r="3">
      <c r="A3">
        <f>ROW(A3)-1</f>
        <v>2</v>
      </c>
      <c r="B3">
        <v>22</v>
      </c>
      <c r="C3" t="str" cm="1">
        <f t="array" ref="C3">GetValue("Dmn","Name",B3)</f>
        <v>Raíz CNPJ</v>
      </c>
      <c r="D3">
        <v>2</v>
      </c>
      <c r="E3" t="str" cm="1">
        <f t="array" ref="E3">GetValue("Msk","Name",D3)</f>
        <v>CPF</v>
      </c>
      <c r="F3">
        <v>11</v>
      </c>
      <c r="G3" t="str">
        <v>10;9;8;7;6;5;4;3;2|11;10;9;8;7;6;5;4;3;2</v>
      </c>
      <c r="H3">
        <v>0</v>
      </c>
    </row>
    <row r="4">
      <c r="A4">
        <f>ROW(A4)-1</f>
        <v>3</v>
      </c>
      <c r="B4">
        <v>23</v>
      </c>
      <c r="C4" t="str" cm="1">
        <f t="array" ref="C4">GetValue("Dmn","Name",B4)</f>
        <v>CPF</v>
      </c>
      <c r="D4">
        <v>3</v>
      </c>
      <c r="E4" t="str" cm="1">
        <f t="array" ref="E4">GetValue("Msk","Name",D4)</f>
        <v>CNPJ</v>
      </c>
      <c r="F4">
        <v>11</v>
      </c>
      <c r="G4" t="str">
        <v>5;4;3;2;9;8;7;6;5;4;3;2|6;5;4;3;2;9;8;7;6;5;4;3;2</v>
      </c>
      <c r="H4">
        <v>0</v>
      </c>
    </row>
    <row r="5">
      <c r="A5">
        <f>ROW(A5)-1</f>
        <v>4</v>
      </c>
      <c r="B5">
        <v>24</v>
      </c>
      <c r="C5" t="str" cm="1">
        <f t="array" ref="C5">GetValue("Dmn","Name",B5)</f>
        <v>CNPJ</v>
      </c>
      <c r="D5">
        <v>4</v>
      </c>
      <c r="E5" t="str" cm="1">
        <f t="array" ref="E5">GetValue("Msk","Name",D5)</f>
        <v>CAEPF</v>
      </c>
      <c r="F5">
        <v>11</v>
      </c>
      <c r="G5" t="str">
        <v>6;7;8;9;2;3;4;5;6;7;8;9</v>
      </c>
      <c r="H5">
        <v>0</v>
      </c>
    </row>
    <row r="6">
      <c r="A6">
        <f>ROW(A6)-1</f>
        <v>5</v>
      </c>
      <c r="B6">
        <v>25</v>
      </c>
      <c r="C6" t="str" cm="1">
        <f t="array" ref="C6">GetValue("Dmn","Name",B6)</f>
        <v>RAIZ/CPF/CNPJ</v>
      </c>
      <c r="D6">
        <v>5</v>
      </c>
      <c r="E6" t="str" cm="1">
        <f t="array" ref="E6">GetValue("Msk","Name",D6)</f>
        <v>Credit Card</v>
      </c>
      <c r="F6">
        <v>11</v>
      </c>
      <c r="G6" t="str">
        <v>5;6;7;8;9;2;3;4;5;6;7;8;9</v>
      </c>
      <c r="H6">
        <v>0</v>
      </c>
    </row>
    <row r="7">
      <c r="A7">
        <f>ROW(A7)-1</f>
        <v>6</v>
      </c>
      <c r="B7">
        <v>26</v>
      </c>
      <c r="C7" t="str" cm="1">
        <f t="array" ref="C7">GetValue("Dmn","Name",B7)</f>
        <v>CAEPF</v>
      </c>
      <c r="D7">
        <v>6</v>
      </c>
      <c r="E7" t="str" cm="1">
        <f t="array" ref="E7">GetValue("Msk","Name",D7)</f>
        <v>RENAVAM</v>
      </c>
      <c r="F7">
        <v>11</v>
      </c>
      <c r="G7" t="str">
        <v>6;7;8;9;2;3;4;5;6;7;8;9</v>
      </c>
      <c r="H7">
        <v>0</v>
      </c>
    </row>
    <row r="8">
      <c r="A8">
        <f>ROW(A8)-1</f>
        <v>7</v>
      </c>
      <c r="B8">
        <v>27</v>
      </c>
      <c r="C8" t="str" cm="1">
        <f t="array" ref="C8">GetValue("Dmn","Name",B8)</f>
        <v>CREDIT CARD</v>
      </c>
      <c r="D8">
        <v>7</v>
      </c>
      <c r="E8" t="str" cm="1">
        <f t="array" ref="E8">GetValue("Msk","Name",D8)</f>
        <v>EAN-8</v>
      </c>
      <c r="F8">
        <v>11</v>
      </c>
      <c r="G8" t="str">
        <v>5;6;7;8;9;2;3;4;5;6;7;8;9</v>
      </c>
      <c r="H8">
        <v>0</v>
      </c>
    </row>
    <row r="9">
      <c r="A9">
        <f>ROW(A9)-1</f>
        <v>8</v>
      </c>
      <c r="B9">
        <v>28</v>
      </c>
      <c r="C9" t="str" cm="1">
        <f t="array" ref="C9">GetValue("Dmn","Name",B9)</f>
        <v>RENAVAM</v>
      </c>
      <c r="D9">
        <v>8</v>
      </c>
      <c r="E9" t="str" cm="1">
        <f t="array" ref="E9">GetValue("Msk","Name",D9)</f>
        <v>EAN-13</v>
      </c>
      <c r="F9">
        <v>10</v>
      </c>
      <c r="G9" t="str">
        <v>2;1;2;1;2;1;2;1;2;1;2;1;2;1;2;1</v>
      </c>
      <c r="H9">
        <v>0</v>
      </c>
    </row>
    <row r="10">
      <c r="A10">
        <f>ROW(A10)-1</f>
        <v>9</v>
      </c>
      <c r="B10">
        <v>30</v>
      </c>
      <c r="C10" t="str" cm="1">
        <f t="array" ref="C10">GetValue("Dmn","Name",B10)</f>
        <v>ISBN-10</v>
      </c>
      <c r="D10">
        <v>9</v>
      </c>
      <c r="E10" t="str" cm="1">
        <f t="array" ref="E10">GetValue("Msk","Name",D10)</f>
        <v>ISBN-10</v>
      </c>
      <c r="F10">
        <v>11</v>
      </c>
      <c r="G10" t="str">
        <v>3;2;9;8;7;6;5;4;3;2</v>
      </c>
      <c r="H10">
        <v>0</v>
      </c>
    </row>
    <row r="11">
      <c r="A11">
        <f>ROW(A11)-1</f>
        <v>10</v>
      </c>
      <c r="B11">
        <v>31</v>
      </c>
      <c r="C11" t="str" cm="1">
        <f t="array" ref="C11">GetValue("Dmn","Name",B11)</f>
        <v>ISBN-13</v>
      </c>
      <c r="D11">
        <v>10</v>
      </c>
      <c r="E11" t="str" cm="1">
        <f t="array" ref="E11">GetValue("Msk","Name",D11)</f>
        <v>ISBN-13</v>
      </c>
      <c r="F11">
        <v>10</v>
      </c>
      <c r="G11" t="str">
        <v>3;1;3;1;3;1;3</v>
      </c>
      <c r="H11">
        <v>0</v>
      </c>
    </row>
    <row r="12">
      <c r="A12">
        <f>ROW(A12)-1</f>
        <v>11</v>
      </c>
      <c r="B12">
        <v>31</v>
      </c>
      <c r="C12" t="str" cm="1">
        <f t="array" ref="C12">GetValue("Dmn","Name",B12)</f>
        <v>ISBN-13</v>
      </c>
      <c r="D12">
        <v>11</v>
      </c>
      <c r="E12" t="str" cm="1">
        <f t="array" ref="E12">GetValue("Msk","Name",D12)</f>
        <v>ISSN</v>
      </c>
      <c r="F12">
        <v>10</v>
      </c>
      <c r="G12" t="str">
        <v>3;1;3;1;3;1;3;1;3;1;3;1</v>
      </c>
      <c r="H12">
        <v>0</v>
      </c>
    </row>
    <row r="13">
      <c r="A13">
        <f>ROW(A13)-1</f>
        <v>12</v>
      </c>
      <c r="B13">
        <v>32</v>
      </c>
      <c r="C13" t="str" cm="1">
        <f t="array" ref="C13">GetValue("Dmn","Name",B13)</f>
        <v>ISSN</v>
      </c>
      <c r="D13">
        <v>12</v>
      </c>
      <c r="E13" t="str" cm="1">
        <f t="array" ref="E13">GetValue("Msk","Name",D13)</f>
        <v>CEP (BR)</v>
      </c>
      <c r="F13">
        <v>11</v>
      </c>
      <c r="G13" t="str">
        <v>10;9;8;7;6;5;4;3;2</v>
      </c>
      <c r="H13" t="str">
        <v>X</v>
      </c>
    </row>
    <row r="14">
      <c r="A14">
        <f>ROW(A14)-1</f>
        <v>13</v>
      </c>
      <c r="B14">
        <v>33</v>
      </c>
      <c r="C14" t="str" cm="1">
        <f t="array" ref="C14">GetValue("Dmn","Name",B14)</f>
        <v>CEP (BR)</v>
      </c>
      <c r="D14">
        <v>13</v>
      </c>
      <c r="E14" t="str" cm="1">
        <f t="array" ref="E14">GetValue("Msk","Name",D14)</f>
        <v>Fone (BR)</v>
      </c>
      <c r="F14">
        <v>10</v>
      </c>
      <c r="G14" t="str">
        <v>3;1;3;1;3;1;3;1;3;1;3;1</v>
      </c>
      <c r="H14">
        <v>0</v>
      </c>
    </row>
    <row r="15">
      <c r="A15">
        <f>ROW(A15)-1</f>
        <v>14</v>
      </c>
      <c r="B15">
        <v>34</v>
      </c>
      <c r="C15" t="str" cm="1">
        <f t="array" ref="C15">GetValue("Dmn","Name",B15)</f>
        <v>NIS/PIS/PASEP</v>
      </c>
      <c r="D15">
        <v>14</v>
      </c>
      <c r="E15" t="str" cm="1">
        <f t="array" ref="E15">GetValue("Msk","Name",D15)</f>
        <v>Celular (BR)</v>
      </c>
      <c r="F15">
        <v>11</v>
      </c>
      <c r="G15" t="str">
        <v>8;7;6;5;4;3;2</v>
      </c>
      <c r="H15" t="str">
        <v>X</v>
      </c>
    </row>
    <row r="16">
      <c r="A16">
        <f>ROW(A16)-1</f>
        <v>15</v>
      </c>
      <c r="B16">
        <v>34</v>
      </c>
      <c r="C16" t="str" cm="1">
        <f t="array" ref="C16">GetValue("Dmn","Name",B16)</f>
        <v>NIS/PIS/PASEP</v>
      </c>
      <c r="D16">
        <v>15</v>
      </c>
      <c r="E16" t="str" cm="1">
        <f t="array" ref="E16">GetValue("Msk","Name",D16)</f>
        <v>Placa Veicular (BR)</v>
      </c>
    </row>
    <row r="17">
      <c r="A17">
        <f>ROW(A17)-1</f>
        <v>16</v>
      </c>
      <c r="B17">
        <v>34</v>
      </c>
      <c r="C17" t="str" cm="1">
        <f t="array" ref="C17">GetValue("Dmn","Name",B17)</f>
        <v>NIS/PIS/PASEP</v>
      </c>
      <c r="D17">
        <v>16</v>
      </c>
      <c r="E17" t="str" cm="1">
        <f t="array" ref="E17">GetValue("Msk","Name",D17)</f>
        <v>Placa MERCOSUL</v>
      </c>
    </row>
    <row r="18">
      <c r="A18">
        <f>ROW(A18)-1</f>
        <v>17</v>
      </c>
      <c r="B18">
        <v>35</v>
      </c>
      <c r="C18" t="str" cm="1">
        <f t="array" ref="C18">GetValue("Dmn","Name",B18)</f>
        <v>CNH</v>
      </c>
      <c r="D18">
        <v>17</v>
      </c>
      <c r="E18" t="str" cm="1">
        <f t="array" ref="E18">GetValue("Msk","Name",D18)</f>
        <v>NIS/PIS/PASEP</v>
      </c>
    </row>
    <row r="19">
      <c r="A19">
        <f>ROW(A19)-1</f>
        <v>18</v>
      </c>
      <c r="B19">
        <v>36</v>
      </c>
      <c r="C19" t="str" cm="1">
        <f t="array" ref="C19">GetValue("Dmn","Name",B19)</f>
        <v>Fone (BR)</v>
      </c>
      <c r="D19">
        <v>18</v>
      </c>
      <c r="E19" t="str" cm="1">
        <f t="array" ref="E19">GetValue("Msk","Name",D19)</f>
        <v>Título de Eleitor</v>
      </c>
    </row>
    <row r="20">
      <c r="A20">
        <f>ROW(A20)-1</f>
        <v>19</v>
      </c>
      <c r="B20">
        <v>37</v>
      </c>
      <c r="C20" t="str" cm="1">
        <f t="array" ref="C20">GetValue("Dmn","Name",B20)</f>
        <v>Celular (BR)</v>
      </c>
      <c r="D20">
        <v>19</v>
      </c>
      <c r="E20" t="str" cm="1">
        <f t="array" ref="E20">GetValue("Msk","Name",D20)</f>
        <v>CNH</v>
      </c>
    </row>
  </sheetData>
  <pageMargins left="0.511811024" right="0.511811024" top="0.787401575" bottom="0.787401575" header="0.31496062" footer="0.31496062"/>
  <ignoredErrors>
    <ignoredError numberStoredAsText="1" sqref="A1:H20"/>
  </ignoredErrors>
</worksheet>
</file>

<file path=xl/worksheets/sheet11.xml><?xml version="1.0" encoding="utf-8"?>
<worksheet xmlns="http://schemas.openxmlformats.org/spreadsheetml/2006/main" xmlns:r="http://schemas.openxmlformats.org/officeDocument/2006/relationships">
  <dimension ref="A1:E2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Name</v>
      </c>
      <c r="E1" t="str">
        <v>Description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D2" t="str">
        <v>crudex</v>
      </c>
      <c r="E2" t="str">
        <v>CRUD Express</v>
      </c>
    </row>
  </sheetData>
  <pageMargins left="0.511811024" right="0.511811024" top="0.787401575" bottom="0.787401575" header="0.31496062" footer="0.31496062"/>
  <ignoredErrors>
    <ignoredError numberStoredAsText="1" sqref="A1:E2"/>
  </ignoredErrors>
</worksheet>
</file>

<file path=xl/worksheets/sheet12.xml><?xml version="1.0" encoding="utf-8"?>
<worksheet xmlns="http://schemas.openxmlformats.org/spreadsheetml/2006/main" xmlns:r="http://schemas.openxmlformats.org/officeDocument/2006/relationships">
  <dimension ref="A1:G4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ParentEnvironmentId</v>
      </c>
      <c r="E1" t="str">
        <v>#ParentEnvironmentName</v>
      </c>
      <c r="F1" t="str">
        <v>Name</v>
      </c>
      <c r="G1" t="str">
        <v>Description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E2" t="str" cm="1">
        <f t="array" ref="E2">GetValue("Env","Name",D2)</f>
        <v/>
      </c>
      <c r="F2" t="str">
        <v>dev</v>
      </c>
      <c r="G2" t="str">
        <v>Desenvolvimento</v>
      </c>
    </row>
    <row r="3">
      <c r="A3">
        <f>ROW(A3)-1</f>
        <v>2</v>
      </c>
      <c r="B3">
        <v>1</v>
      </c>
      <c r="C3" t="str" cm="1">
        <f t="array" ref="C3">GetValue("Own","Name",B3)</f>
        <v>SoftLab</v>
      </c>
      <c r="D3">
        <v>1</v>
      </c>
      <c r="E3" t="str" cm="1">
        <f t="array" ref="E3">GetValue("Env","Name",D3)</f>
        <v>dev</v>
      </c>
      <c r="F3" t="str">
        <v>hml</v>
      </c>
      <c r="G3" t="str">
        <v>Homologação</v>
      </c>
    </row>
    <row r="4">
      <c r="A4">
        <f>ROW(A4)-1</f>
        <v>3</v>
      </c>
      <c r="B4">
        <v>1</v>
      </c>
      <c r="C4" t="str" cm="1">
        <f t="array" ref="C4">GetValue("Own","Name",B4)</f>
        <v>SoftLab</v>
      </c>
      <c r="D4">
        <v>2</v>
      </c>
      <c r="E4" t="str" cm="1">
        <f t="array" ref="E4">GetValue("Env","Name",D4)</f>
        <v>hml</v>
      </c>
      <c r="F4" t="str">
        <v>prd</v>
      </c>
      <c r="G4" t="str">
        <v>Produção</v>
      </c>
    </row>
  </sheetData>
  <pageMargins left="0.511811024" right="0.511811024" top="0.787401575" bottom="0.787401575" header="0.31496062" footer="0.31496062"/>
  <ignoredErrors>
    <ignoredError numberStoredAsText="1" sqref="A1:G4"/>
  </ignoredErrors>
</worksheet>
</file>

<file path=xl/worksheets/sheet13.xml><?xml version="1.0" encoding="utf-8"?>
<worksheet xmlns="http://schemas.openxmlformats.org/spreadsheetml/2006/main" xmlns:r="http://schemas.openxmlformats.org/officeDocument/2006/relationships">
  <dimension ref="A1:I4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DatabaseId</v>
      </c>
      <c r="E1" t="str">
        <v>#DatabaseName</v>
      </c>
      <c r="F1" t="str">
        <v>Environment</v>
      </c>
      <c r="G1" t="str">
        <v>Directory</v>
      </c>
      <c r="H1" t="str">
        <v>ConnectionString</v>
      </c>
      <c r="I1" t="str">
        <v>IsActive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GetValue("Db","Name",D2)&amp;"-"&amp;F2</f>
        <v>crudex-dev</v>
      </c>
      <c r="F2" t="str">
        <v>dev</v>
      </c>
      <c r="H2" t="str">
        <v>Data Source=localhost,1433;Initial Catalog=crudex-dev;Integrated Security=SSPI;Encrypt=yes;TrustServerCertificate=yes;Persist Security Info=False;Connect Timeout=30;</v>
      </c>
      <c r="I2" t="b">
        <v>1</v>
      </c>
    </row>
    <row r="3">
      <c r="A3">
        <f>ROW(A3)-1</f>
        <v>2</v>
      </c>
      <c r="B3">
        <v>1</v>
      </c>
      <c r="C3" t="str" cm="1">
        <f t="array" ref="C3">GetValue("Own","Name",B3)</f>
        <v>SoftLab</v>
      </c>
      <c r="D3">
        <v>1</v>
      </c>
      <c r="E3" t="str" cm="1">
        <f t="array" ref="E3">GetValue("Db","Name",D3)&amp;"-"&amp;F3</f>
        <v>crudex-hml</v>
      </c>
      <c r="F3" t="str">
        <v>hml</v>
      </c>
      <c r="H3" t="str">
        <v>Data Source=localhost,1433;Initial Catalog=crudex-hml;Integrated Security=SSPI;Encrypt=yes;TrustServerCertificate=yes;Persist Security Info=False;Connect Timeout=30;</v>
      </c>
      <c r="I3" t="b">
        <v>1</v>
      </c>
    </row>
    <row r="4">
      <c r="A4">
        <f>ROW(A4)-1</f>
        <v>3</v>
      </c>
      <c r="B4">
        <v>1</v>
      </c>
      <c r="C4" t="str" cm="1">
        <f t="array" ref="C4">GetValue("Own","Name",B4)</f>
        <v>SoftLab</v>
      </c>
      <c r="D4">
        <v>1</v>
      </c>
      <c r="E4" t="str" cm="1">
        <f t="array" ref="E4">GetValue("Db","Name",D4)&amp;"-"&amp;F4</f>
        <v>crudex-prd</v>
      </c>
      <c r="F4" t="str">
        <v>prd</v>
      </c>
      <c r="H4" t="str">
        <v>Data Source=localhost,1433;Initial Catalog=crudex-prd;Integrated Security=SSPI;Encrypt=yes;TrustServerCertificate=yes;Persist Security Info=False;Connect Timeout=30;</v>
      </c>
      <c r="I4" t="b">
        <v>1</v>
      </c>
    </row>
  </sheetData>
  <pageMargins left="0.511811024" right="0.511811024" top="0.787401575" bottom="0.787401575" header="0.31496062" footer="0.31496062"/>
  <ignoredErrors>
    <ignoredError numberStoredAsText="1" sqref="A1:I4"/>
  </ignoredErrors>
</worksheet>
</file>

<file path=xl/worksheets/sheet14.xml><?xml version="1.0" encoding="utf-8"?>
<worksheet xmlns="http://schemas.openxmlformats.org/spreadsheetml/2006/main" xmlns:r="http://schemas.openxmlformats.org/officeDocument/2006/relationships">
  <dimension ref="A1:H2"/>
  <sheetViews>
    <sheetView workbookViewId="0" rightToLeft="0"/>
  </sheetViews>
  <sheetData>
    <row r="1">
      <c r="A1" t="str">
        <v>*Id</v>
      </c>
      <c r="B1" t="str">
        <v>DatabaseId</v>
      </c>
      <c r="C1" t="str">
        <v>#DatabaseName</v>
      </c>
      <c r="D1" t="str">
        <v>Prefix</v>
      </c>
      <c r="E1" t="str">
        <v>Name</v>
      </c>
      <c r="F1" t="str">
        <v>Description</v>
      </c>
      <c r="G1" t="str">
        <v>MaxRetryLogins</v>
      </c>
      <c r="H1" t="str">
        <v>IsActive</v>
      </c>
    </row>
    <row r="2">
      <c r="A2">
        <v>1</v>
      </c>
      <c r="B2">
        <v>1</v>
      </c>
      <c r="C2" t="str" cm="1">
        <f t="array" ref="C2">GetValue("Db","Name",B2)</f>
        <v>crudex</v>
      </c>
      <c r="D2" t="str">
        <v>sgsi</v>
      </c>
      <c r="E2" t="str">
        <v>crudex</v>
      </c>
      <c r="F2" t="str">
        <v>CRUD Express</v>
      </c>
      <c r="G2">
        <v>5</v>
      </c>
      <c r="H2" t="b">
        <v>1</v>
      </c>
    </row>
  </sheetData>
  <pageMargins left="0.511811024" right="0.511811024" top="0.787401575" bottom="0.787401575" header="0.31496062" footer="0.31496062"/>
  <ignoredErrors>
    <ignoredError numberStoredAsText="1" sqref="A1:H2"/>
  </ignoredErrors>
</worksheet>
</file>

<file path=xl/worksheets/sheet15.xml><?xml version="1.0" encoding="utf-8"?>
<worksheet xmlns="http://schemas.openxmlformats.org/spreadsheetml/2006/main" xmlns:r="http://schemas.openxmlformats.org/officeDocument/2006/relationships">
  <dimension ref="A1:J41"/>
  <sheetViews>
    <sheetView workbookViewId="0" rightToLeft="0"/>
  </sheetViews>
  <sheetData>
    <row r="1">
      <c r="A1" t="str">
        <v>*Id</v>
      </c>
      <c r="B1" t="str">
        <v>SystemId</v>
      </c>
      <c r="C1" t="str">
        <v>#SystemName</v>
      </c>
      <c r="D1" t="str">
        <v>ParentMenuId</v>
      </c>
      <c r="E1" t="str">
        <v>#ParentMenuCaption</v>
      </c>
      <c r="F1" t="str">
        <v>Sequence</v>
      </c>
      <c r="G1" t="str">
        <v>Caption</v>
      </c>
      <c r="H1" t="str">
        <v>Message</v>
      </c>
      <c r="I1" t="str">
        <v>Action</v>
      </c>
      <c r="J1" t="str">
        <v>IsActive</v>
      </c>
    </row>
    <row r="2">
      <c r="A2">
        <f>ROW(A2)-1</f>
        <v>1</v>
      </c>
      <c r="B2">
        <v>1</v>
      </c>
      <c r="C2" t="str" cm="1">
        <f t="array" ref="C2">GetValue("Sys","Name",B2)</f>
        <v>crudex</v>
      </c>
      <c r="E2" t="str" cm="1">
        <f t="array" ref="E2">GetValue("Mnu","Caption",D2)</f>
        <v/>
      </c>
      <c r="F2">
        <v>5</v>
      </c>
      <c r="G2" t="str">
        <v>Manutenção</v>
      </c>
      <c r="H2" t="str">
        <v>Manutenção de Tabelas</v>
      </c>
      <c r="J2" t="b">
        <v>1</v>
      </c>
    </row>
    <row r="3">
      <c r="A3">
        <f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GetValue("Mnu","Caption",D3)</f>
        <v>Manutenção</v>
      </c>
      <c r="F3">
        <f>F2+5</f>
        <v>10</v>
      </c>
      <c r="G3" t="str">
        <v>Cadastro</v>
      </c>
      <c r="H3" t="str">
        <v>Manutenção de Cadastros</v>
      </c>
      <c r="J3" t="b">
        <v>1</v>
      </c>
    </row>
    <row r="4">
      <c r="A4">
        <f>ROW(A4)-1</f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GetValue("Mnu","Caption",D4)</f>
        <v>Manutenção</v>
      </c>
      <c r="F4">
        <f>F3+5</f>
        <v>15</v>
      </c>
      <c r="G4" t="str">
        <v>Definição</v>
      </c>
      <c r="H4" t="str">
        <v>Manutenção de Tabelas de Definição</v>
      </c>
      <c r="J4" t="b">
        <v>1</v>
      </c>
    </row>
    <row r="5">
      <c r="A5">
        <f>ROW(A5)-1</f>
        <v>4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f>F4+5</f>
        <v>20</v>
      </c>
      <c r="G5" t="str">
        <v>Associação</v>
      </c>
      <c r="H5" t="str">
        <v>Manutenção de Tabelas Associativas</v>
      </c>
      <c r="J5" t="b">
        <v>1</v>
      </c>
    </row>
    <row r="6">
      <c r="A6">
        <f>ROW(A6)-1</f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GetValue("Mnu","Caption",D6)</f>
        <v>Manutenção</v>
      </c>
      <c r="F6">
        <f>F5+5</f>
        <v>25</v>
      </c>
      <c r="G6" t="str">
        <v>Categorias</v>
      </c>
      <c r="H6" t="str">
        <f>E6&amp;" de "&amp;G6</f>
        <v>Manutenção de Categorias</v>
      </c>
      <c r="I6" t="str">
        <v>browse/crudex/Cat</v>
      </c>
      <c r="J6" t="b">
        <v>1</v>
      </c>
    </row>
    <row r="7">
      <c r="A7">
        <f>ROW(A7)-1</f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GetValue("Mnu","Caption",D7)</f>
        <v>Manutenção</v>
      </c>
      <c r="F7">
        <f>F6+5</f>
        <v>30</v>
      </c>
      <c r="G7" t="str">
        <v>Comparadores</v>
      </c>
      <c r="H7" t="str">
        <f>E7&amp;" de "&amp;G7</f>
        <v>Manutenção de Comparadores</v>
      </c>
      <c r="I7" t="str">
        <v>browse/crudex/Cmp</v>
      </c>
      <c r="J7" t="b">
        <v>1</v>
      </c>
    </row>
    <row r="8">
      <c r="A8">
        <f>ROW(A8)-1</f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GetValue("Mnu","Caption",D8)</f>
        <v>Manutenção</v>
      </c>
      <c r="F8">
        <f>F7+5</f>
        <v>35</v>
      </c>
      <c r="G8" t="str">
        <v>Regras</v>
      </c>
      <c r="H8" t="str">
        <f>E8&amp;" de "&amp;G8</f>
        <v>Manutenção de Regras</v>
      </c>
      <c r="I8" t="str">
        <v>browse/crudex/Rul</v>
      </c>
      <c r="J8" t="b">
        <v>1</v>
      </c>
    </row>
    <row r="9">
      <c r="A9">
        <f>ROW(A9)-1</f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GetValue("Mnu","Caption",D9)</f>
        <v>Manutenção</v>
      </c>
      <c r="F9">
        <f>F8+5</f>
        <v>40</v>
      </c>
      <c r="G9" t="str">
        <v>SGBD's</v>
      </c>
      <c r="H9" t="str">
        <f>E9&amp;" de "&amp;G9</f>
        <v>Manutenção de SGBD's</v>
      </c>
      <c r="I9" t="str">
        <v>browse/crudex/Eng</v>
      </c>
      <c r="J9" t="b">
        <v>1</v>
      </c>
    </row>
    <row r="10">
      <c r="A10">
        <f>ROW(A10)-1</f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GetValue("Mnu","Caption",D10)</f>
        <v>Manutenção</v>
      </c>
      <c r="F10">
        <f>F9+5</f>
        <v>45</v>
      </c>
      <c r="G10" t="str">
        <v>Tipos</v>
      </c>
      <c r="H10" t="str">
        <f>E10&amp;" de "&amp;G10</f>
        <v>Manutenção de Tipos</v>
      </c>
      <c r="I10" t="str">
        <v>browse/crudex/Typ</v>
      </c>
      <c r="J10" t="b">
        <v>1</v>
      </c>
    </row>
    <row r="11">
      <c r="A11">
        <f>ROW(A11)-1</f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GetValue("Mnu","Caption",D11)</f>
        <v>Manutenção</v>
      </c>
      <c r="F11">
        <f>F10+5</f>
        <v>50</v>
      </c>
      <c r="G11" t="str">
        <v>SGBD's x Tipos</v>
      </c>
      <c r="H11" t="str">
        <f>E11&amp;" de "&amp;G11</f>
        <v>Manutenção de SGBD's x Tipos</v>
      </c>
      <c r="I11" t="str">
        <v>browse/crudex/Map</v>
      </c>
      <c r="J11" t="b">
        <v>1</v>
      </c>
    </row>
    <row r="12">
      <c r="A12">
        <f>ROW(A12)-1</f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GetValue("Mnu","Caption",D12)</f>
        <v>Manutenção</v>
      </c>
      <c r="F12">
        <f>F11+5</f>
        <v>55</v>
      </c>
      <c r="G12" t="str">
        <v>Proprietários</v>
      </c>
      <c r="H12" t="str">
        <f>E12&amp;" de "&amp;G12</f>
        <v>Manutenção de Proprietários</v>
      </c>
      <c r="I12" t="str">
        <v>browse/crudex/Own</v>
      </c>
      <c r="J12" t="b">
        <v>1</v>
      </c>
    </row>
    <row r="13">
      <c r="A13">
        <f>ROW(A13)-1</f>
        <v>12</v>
      </c>
      <c r="B13">
        <v>1</v>
      </c>
      <c r="C13" t="str" cm="1">
        <f t="array" ref="C13">GetValue("Sys","Name",B13)</f>
        <v>crudex</v>
      </c>
      <c r="D13">
        <v>2</v>
      </c>
      <c r="E13" t="str" cm="1">
        <f t="array" ref="E13">GetValue("Mnu","Caption",D13)</f>
        <v>Cadastro</v>
      </c>
      <c r="F13">
        <f>F12+5</f>
        <v>60</v>
      </c>
      <c r="G13" t="str">
        <v>Domínios</v>
      </c>
      <c r="H13" t="str">
        <f>E13&amp;" de "&amp;G13</f>
        <v>Cadastro de Domínios</v>
      </c>
      <c r="I13" t="str">
        <v>browse/crudex/Dmn</v>
      </c>
      <c r="J13" t="b">
        <v>1</v>
      </c>
    </row>
    <row r="14">
      <c r="A14">
        <f>ROW(A14)-1</f>
        <v>13</v>
      </c>
      <c r="B14">
        <v>1</v>
      </c>
      <c r="C14" t="str" cm="1">
        <f t="array" ref="C14">GetValue("Sys","Name",B14)</f>
        <v>crudex</v>
      </c>
      <c r="D14">
        <v>2</v>
      </c>
      <c r="E14" t="str" cm="1">
        <f t="array" ref="E14">GetValue("Mnu","Caption",D14)</f>
        <v>Cadastro</v>
      </c>
      <c r="F14">
        <f>F13+5</f>
        <v>65</v>
      </c>
      <c r="G14" t="str">
        <v>Máscaras</v>
      </c>
      <c r="H14" t="str">
        <f>E14&amp;" de "&amp;G14</f>
        <v>Cadastro de Máscaras</v>
      </c>
      <c r="I14" t="str">
        <v>browse/crudex/Msk</v>
      </c>
      <c r="J14" t="b">
        <v>1</v>
      </c>
    </row>
    <row r="15">
      <c r="A15">
        <f>ROW(A15)-1</f>
        <v>14</v>
      </c>
      <c r="B15">
        <v>1</v>
      </c>
      <c r="C15" t="str" cm="1">
        <f t="array" ref="C15">GetValue("Sys","Name",B15)</f>
        <v>crudex</v>
      </c>
      <c r="D15">
        <v>2</v>
      </c>
      <c r="E15" t="str" cm="1">
        <f t="array" ref="E15">GetValue("Mnu","Caption",D15)</f>
        <v>Cadastro</v>
      </c>
      <c r="F15">
        <f>F14+5</f>
        <v>70</v>
      </c>
      <c r="G15" t="str">
        <v>Domínios x Máscaras</v>
      </c>
      <c r="H15" t="str">
        <f>E15&amp;" de "&amp;G15</f>
        <v>Cadastro de Domínios x Máscaras</v>
      </c>
      <c r="I15" t="str">
        <v>browse/crudex/Mkg</v>
      </c>
      <c r="J15" t="b">
        <v>1</v>
      </c>
    </row>
    <row r="16">
      <c r="A16">
        <f>ROW(A16)-1</f>
        <v>15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GetValue("Mnu","Caption",D16)</f>
        <v>Cadastro</v>
      </c>
      <c r="F16">
        <f>F15+5</f>
        <v>75</v>
      </c>
      <c r="G16" t="str">
        <v>Bancos-de-dados</v>
      </c>
      <c r="H16" t="str">
        <f>E16&amp;" de "&amp;G16</f>
        <v>Cadastro de Bancos-de-dados</v>
      </c>
      <c r="I16" t="str">
        <v>browse/crudex/Db</v>
      </c>
      <c r="J16" t="b">
        <v>1</v>
      </c>
    </row>
    <row r="17">
      <c r="A17">
        <f>ROW(A17)-1</f>
        <v>16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GetValue("Mnu","Caption",D17)</f>
        <v>Cadastro</v>
      </c>
      <c r="F17">
        <f>F15+5</f>
        <v>75</v>
      </c>
      <c r="G17" t="str">
        <v>Ambientes</v>
      </c>
      <c r="H17" t="str">
        <v>Ambientes de trabalho</v>
      </c>
      <c r="I17" t="str">
        <v>browse/crudex/Env</v>
      </c>
      <c r="J17" t="b">
        <v>1</v>
      </c>
    </row>
    <row r="18">
      <c r="A18">
        <f>ROW(A18)-1</f>
        <v>17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GetValue("Mnu","Caption",D18)</f>
        <v>Cadastro</v>
      </c>
      <c r="F18">
        <f>F16+5</f>
        <v>80</v>
      </c>
      <c r="G18" t="str">
        <v>Conexões</v>
      </c>
      <c r="H18" t="str">
        <f>E18&amp;" de "&amp;G18</f>
        <v>Cadastro de Conexões</v>
      </c>
      <c r="I18" t="str">
        <v>browse/crudex/Con</v>
      </c>
      <c r="J18" t="b">
        <v>1</v>
      </c>
    </row>
    <row r="19">
      <c r="A19">
        <f>ROW(A19)-1</f>
        <v>18</v>
      </c>
      <c r="B19">
        <v>1</v>
      </c>
      <c r="C19" t="str" cm="1">
        <f t="array" ref="C19">GetValue("Sys","Name",B19)</f>
        <v>crudex</v>
      </c>
      <c r="D19">
        <v>3</v>
      </c>
      <c r="E19" t="str" cm="1">
        <f t="array" ref="E19">GetValue("Mnu","Caption",D19)</f>
        <v>Definição</v>
      </c>
      <c r="F19">
        <f>F18+5</f>
        <v>85</v>
      </c>
      <c r="G19" t="str">
        <v>Sistemas</v>
      </c>
      <c r="H19" t="str">
        <f>E19&amp;" de "&amp;G19</f>
        <v>Definição de Sistemas</v>
      </c>
      <c r="I19" t="str">
        <v>browse/crudex/Sys</v>
      </c>
      <c r="J19" t="b">
        <v>1</v>
      </c>
    </row>
    <row r="20">
      <c r="A20">
        <f>ROW(A20)-1</f>
        <v>19</v>
      </c>
      <c r="B20">
        <v>1</v>
      </c>
      <c r="C20" t="str" cm="1">
        <f t="array" ref="C20">GetValue("Sys","Name",B20)</f>
        <v>crudex</v>
      </c>
      <c r="D20">
        <v>3</v>
      </c>
      <c r="E20" t="str" cm="1">
        <f t="array" ref="E20">GetValue("Mnu","Caption",D20)</f>
        <v>Definição</v>
      </c>
      <c r="F20">
        <f>F19+5</f>
        <v>90</v>
      </c>
      <c r="G20" t="str">
        <v>Menus</v>
      </c>
      <c r="H20" t="str">
        <f>E20&amp;" de "&amp;G20</f>
        <v>Definição de Menus</v>
      </c>
      <c r="I20" t="str">
        <v>browse/crudex/Mnu</v>
      </c>
      <c r="J20" t="b">
        <v>1</v>
      </c>
    </row>
    <row r="21">
      <c r="A21">
        <f>ROW(A21)-1</f>
        <v>20</v>
      </c>
      <c r="B21">
        <v>1</v>
      </c>
      <c r="C21" t="str" cm="1">
        <f t="array" ref="C21">GetValue("Sys","Name",B21)</f>
        <v>crudex</v>
      </c>
      <c r="D21">
        <v>3</v>
      </c>
      <c r="E21" t="str" cm="1">
        <f t="array" ref="E21">GetValue("Mnu","Caption",D21)</f>
        <v>Definição</v>
      </c>
      <c r="F21">
        <f>F20+5</f>
        <v>95</v>
      </c>
      <c r="G21" t="str">
        <v>Tabelas</v>
      </c>
      <c r="H21" t="str">
        <f>E21&amp;" de "&amp;G21</f>
        <v>Definição de Tabelas</v>
      </c>
      <c r="I21" t="str">
        <v>browse/crudex/Tbl</v>
      </c>
      <c r="J21" t="b">
        <v>1</v>
      </c>
    </row>
    <row r="22">
      <c r="A22">
        <f>ROW(A22)-1</f>
        <v>21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GetValue("Mnu","Caption",D22)</f>
        <v>Definição</v>
      </c>
      <c r="F22">
        <f>F21+5</f>
        <v>100</v>
      </c>
      <c r="G22" t="str">
        <v>Colunas</v>
      </c>
      <c r="H22" t="str">
        <f>E22&amp;" de "&amp;G22</f>
        <v>Definição de Colunas</v>
      </c>
      <c r="I22" t="str">
        <v>browse/crudex/Col</v>
      </c>
      <c r="J22" t="b">
        <v>1</v>
      </c>
    </row>
    <row r="23">
      <c r="A23">
        <f>ROW(A23)-1</f>
        <v>22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GetValue("Mnu","Caption",D23)</f>
        <v>Definição</v>
      </c>
      <c r="F23">
        <f>F22+5</f>
        <v>105</v>
      </c>
      <c r="G23" t="str">
        <v>Índices</v>
      </c>
      <c r="H23" t="str">
        <f>E23&amp;" de "&amp;G23</f>
        <v>Definição de Índices</v>
      </c>
      <c r="I23" t="str">
        <v>browse/crudex/Idx</v>
      </c>
      <c r="J23" t="b">
        <v>1</v>
      </c>
    </row>
    <row r="24">
      <c r="A24">
        <f>ROW(A24)-1</f>
        <v>23</v>
      </c>
      <c r="B24">
        <v>1</v>
      </c>
      <c r="C24" t="str" cm="1">
        <f t="array" ref="C24">GetValue("Sys","Name",B24)</f>
        <v>crudex</v>
      </c>
      <c r="D24">
        <v>4</v>
      </c>
      <c r="E24" t="str" cm="1">
        <f t="array" ref="E24">GetValue("Mnu","Caption",D24)</f>
        <v>Associação</v>
      </c>
      <c r="F24">
        <f>F23+5</f>
        <v>110</v>
      </c>
      <c r="G24" t="str">
        <v>Chaves de índices</v>
      </c>
      <c r="H24" t="str">
        <f>E24&amp;" de "&amp;G24</f>
        <v>Associação de Chaves de índices</v>
      </c>
      <c r="I24" t="str">
        <v>browse/crudex/Idk</v>
      </c>
      <c r="J24" t="b">
        <v>1</v>
      </c>
    </row>
    <row r="25">
      <c r="A25">
        <f>ROW(A25)-1</f>
        <v>24</v>
      </c>
      <c r="B25">
        <v>1</v>
      </c>
      <c r="C25" t="str" cm="1">
        <f t="array" ref="C25">GetValue("Sys","Name",B25)</f>
        <v>crudex</v>
      </c>
      <c r="D25">
        <v>4</v>
      </c>
      <c r="E25" t="str" cm="1">
        <f t="array" ref="E25">GetValue("Mnu","Caption",D25)</f>
        <v>Associação</v>
      </c>
      <c r="F25">
        <f>F24+5</f>
        <v>115</v>
      </c>
      <c r="G25" t="str">
        <v>Não-chaves</v>
      </c>
      <c r="H25" t="str">
        <f>E25&amp;" de "&amp;G25</f>
        <v>Associação de Não-chaves</v>
      </c>
      <c r="I25" t="str">
        <v>browse/crudex/Inc</v>
      </c>
      <c r="J25" t="b">
        <v>1</v>
      </c>
    </row>
    <row r="26">
      <c r="A26">
        <f>ROW(A26)-1</f>
        <v>25</v>
      </c>
      <c r="B26">
        <v>1</v>
      </c>
      <c r="C26" t="str" cm="1">
        <f t="array" ref="C26">GetValue("Sys","Name",B26)</f>
        <v>crudex</v>
      </c>
      <c r="D26">
        <v>4</v>
      </c>
      <c r="E26" t="str" cm="1">
        <f t="array" ref="E26">GetValue("Mnu","Caption",D26)</f>
        <v>Associação</v>
      </c>
      <c r="F26">
        <f>F25+5</f>
        <v>120</v>
      </c>
      <c r="G26" t="str">
        <v>Unicidades</v>
      </c>
      <c r="H26" t="str">
        <f>E26&amp;" de "&amp;G26</f>
        <v>Associação de Unicidades</v>
      </c>
      <c r="I26" t="str">
        <v>browse/crudex/Uni</v>
      </c>
      <c r="J26" t="b">
        <v>1</v>
      </c>
    </row>
    <row r="27">
      <c r="A27">
        <f>ROW(A27)-1</f>
        <v>26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GetValue("Mnu","Caption",D27)</f>
        <v>Associação</v>
      </c>
      <c r="F27">
        <f>F26+5</f>
        <v>125</v>
      </c>
      <c r="G27" t="str">
        <v>Expressões</v>
      </c>
      <c r="H27" t="str">
        <f>E27&amp;" de "&amp;G27</f>
        <v>Associação de Expressões</v>
      </c>
      <c r="I27" t="str">
        <v>browse/crudex/Exp</v>
      </c>
      <c r="J27" t="b">
        <v>1</v>
      </c>
    </row>
    <row r="28">
      <c r="A28">
        <f>ROW(A28)-1</f>
        <v>27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GetValue("Mnu","Caption",D28)</f>
        <v>Associação</v>
      </c>
      <c r="F28">
        <f>F27+5</f>
        <v>130</v>
      </c>
      <c r="G28" t="str">
        <v>Condições</v>
      </c>
      <c r="H28" t="str">
        <f>E28&amp;" de "&amp;G28</f>
        <v>Associação de Condições</v>
      </c>
      <c r="I28" t="str">
        <v>browse/crudex/Cnd</v>
      </c>
      <c r="J28" t="b">
        <v>1</v>
      </c>
    </row>
    <row r="29">
      <c r="A29">
        <f>ROW(A29)-1</f>
        <v>28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GetValue("Mnu","Caption",D29)</f>
        <v>Associação</v>
      </c>
      <c r="F29">
        <f>F28+5</f>
        <v>135</v>
      </c>
      <c r="G29" t="str">
        <v>Referências</v>
      </c>
      <c r="H29" t="str">
        <f>E29&amp;" de "&amp;G29</f>
        <v>Associação de Referências</v>
      </c>
      <c r="I29" t="str">
        <v>browse/crudex/Ref</v>
      </c>
      <c r="J29" t="b">
        <v>1</v>
      </c>
    </row>
    <row r="30">
      <c r="A30">
        <f>ROW(A30)-1</f>
        <v>29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GetValue("Mnu","Caption",D30)</f>
        <v>Associação</v>
      </c>
      <c r="F30">
        <f>F29+5</f>
        <v>140</v>
      </c>
      <c r="G30" t="str">
        <v>Chaves de referências</v>
      </c>
      <c r="H30" t="str">
        <f>E30&amp;" de "&amp;G30</f>
        <v>Associação de Chaves de referências</v>
      </c>
      <c r="I30" t="str">
        <v>browse/crudex/Rfk</v>
      </c>
      <c r="J30" t="b">
        <v>1</v>
      </c>
    </row>
    <row r="31">
      <c r="A31">
        <f>ROW(A31)-1</f>
        <v>30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GetValue("Mnu","Caption",D31)</f>
        <v>Associação</v>
      </c>
      <c r="F31">
        <f>F30+5</f>
        <v>145</v>
      </c>
      <c r="G31" t="str">
        <v>Usuários</v>
      </c>
      <c r="H31" t="str">
        <f>E31&amp;" de "&amp;G31</f>
        <v>Associação de Usuários</v>
      </c>
      <c r="I31" t="str">
        <v>browse/crudex/Usr</v>
      </c>
      <c r="J31" t="b">
        <v>1</v>
      </c>
    </row>
    <row r="32">
      <c r="A32">
        <f>ROW(A32)-1</f>
        <v>31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GetValue("Mnu","Caption",D32)</f>
        <v>Associação</v>
      </c>
      <c r="F32">
        <f>F31+5</f>
        <v>150</v>
      </c>
      <c r="G32" t="str">
        <v>Permissões</v>
      </c>
      <c r="H32" t="str">
        <f>E32&amp;" de "&amp;G32</f>
        <v>Associação de Permissões</v>
      </c>
      <c r="I32" t="str">
        <v>browse/crudex/Prm</v>
      </c>
      <c r="J32" t="b">
        <v>1</v>
      </c>
    </row>
    <row r="33">
      <c r="A33">
        <f>ROW(A33)-1</f>
        <v>32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GetValue("Mnu","Caption",D33)</f>
        <v>Associação</v>
      </c>
      <c r="F33">
        <f>F32+5</f>
        <v>155</v>
      </c>
      <c r="G33" t="str">
        <v>Propriedades</v>
      </c>
      <c r="H33" t="str">
        <f>E33&amp;" de "&amp;G33</f>
        <v>Associação de Propriedades</v>
      </c>
      <c r="I33" t="str">
        <v>browse/crudex/Prp</v>
      </c>
      <c r="J33" t="b">
        <v>1</v>
      </c>
    </row>
    <row r="34">
      <c r="A34">
        <f>ROW(A34)-1</f>
        <v>33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GetValue("Mnu","Caption",D34)</f>
        <v>Associação</v>
      </c>
      <c r="F34">
        <f>F33+5</f>
        <v>160</v>
      </c>
      <c r="G34" t="str">
        <v>Comportamentos</v>
      </c>
      <c r="H34" t="str">
        <f>E34&amp;" de "&amp;G34</f>
        <v>Associação de Comportamentos</v>
      </c>
      <c r="I34" t="str">
        <v>browse/crudex/Bhv</v>
      </c>
      <c r="J34" t="b">
        <v>1</v>
      </c>
    </row>
    <row r="35">
      <c r="A35">
        <f>ROW(A35)-1</f>
        <v>34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GetValue("Mnu","Caption",D35)</f>
        <v>Associação</v>
      </c>
      <c r="F35">
        <f>F34+5</f>
        <v>165</v>
      </c>
      <c r="G35" t="str">
        <v>Agendamentos</v>
      </c>
      <c r="H35" t="str">
        <f>E35&amp;" de "&amp;G35</f>
        <v>Associação de Agendamentos</v>
      </c>
      <c r="I35" t="str">
        <v>browse/crudex/Sch</v>
      </c>
      <c r="J35" t="b">
        <v>1</v>
      </c>
    </row>
    <row r="36">
      <c r="A36">
        <f>ROW(A36)-1</f>
        <v>35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GetValue("Mnu","Caption",D36)</f>
        <v>Associação</v>
      </c>
      <c r="F36">
        <f>F35+5</f>
        <v>170</v>
      </c>
      <c r="G36" t="str">
        <v>Snipers</v>
      </c>
      <c r="H36" t="str">
        <f>E36&amp;" de "&amp;G36</f>
        <v>Associação de Snipers</v>
      </c>
      <c r="I36" t="str">
        <v>browse/crudex/Snp</v>
      </c>
      <c r="J36" t="b">
        <v>1</v>
      </c>
    </row>
    <row r="37">
      <c r="A37">
        <f>ROW(A37)-1</f>
        <v>36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GetValue("Mnu","Caption",D37)</f>
        <v>Associação</v>
      </c>
      <c r="F37">
        <f>F36+5</f>
        <v>175</v>
      </c>
      <c r="G37" t="str">
        <v>Scripts</v>
      </c>
      <c r="H37" t="str">
        <f>E37&amp;" de "&amp;G37</f>
        <v>Associação de Scripts</v>
      </c>
      <c r="I37" t="str">
        <v>browse/crudex/Scr</v>
      </c>
      <c r="J37" t="b">
        <v>1</v>
      </c>
    </row>
    <row r="38">
      <c r="A38">
        <f>ROW(A38)-1</f>
        <v>37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GetValue("Mnu","Caption",D38)</f>
        <v>Associação</v>
      </c>
      <c r="F38">
        <f>F37+5</f>
        <v>180</v>
      </c>
      <c r="G38" t="str">
        <v>URL's</v>
      </c>
      <c r="H38" t="str">
        <f>E38&amp;" de "&amp;G38</f>
        <v>Associação de URL's</v>
      </c>
      <c r="I38" t="str">
        <v>browse/crudex/Url</v>
      </c>
      <c r="J38" t="b">
        <v>1</v>
      </c>
    </row>
    <row r="39">
      <c r="A39">
        <f>ROW(A39)-1</f>
        <v>38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GetValue("Mnu","Caption",D39)</f>
        <v>Associação</v>
      </c>
      <c r="F39">
        <f>F38+5</f>
        <v>185</v>
      </c>
      <c r="G39" t="str">
        <v>Sessões</v>
      </c>
      <c r="H39" t="str">
        <f>E39&amp;" de "&amp;G39</f>
        <v>Associação de Sessões</v>
      </c>
      <c r="I39" t="str">
        <v>browse/crudex/Ses</v>
      </c>
      <c r="J39" t="b">
        <v>1</v>
      </c>
    </row>
    <row r="40">
      <c r="A40">
        <f>ROW(A40)-1</f>
        <v>39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GetValue("Mnu","Caption",D40)</f>
        <v>Associação</v>
      </c>
      <c r="F40">
        <f>F39+5</f>
        <v>190</v>
      </c>
      <c r="G40" t="str">
        <v>Transações</v>
      </c>
      <c r="H40" t="str">
        <f>E40&amp;" de "&amp;G40</f>
        <v>Associação de Transações</v>
      </c>
      <c r="I40" t="str">
        <v>browse/crudex/Trs</v>
      </c>
      <c r="J40" t="b">
        <v>1</v>
      </c>
    </row>
    <row r="41">
      <c r="A41">
        <f>ROW(A41)-1</f>
        <v>40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GetValue("Mnu","Caption",D41)</f>
        <v>Associação</v>
      </c>
      <c r="F41">
        <f>F40+5</f>
        <v>195</v>
      </c>
      <c r="G41" t="str">
        <v>Operações</v>
      </c>
      <c r="H41" t="str">
        <f>E41&amp;" de "&amp;G41</f>
        <v>Associação de Operações</v>
      </c>
      <c r="I41" t="str">
        <v>browse/crudex/Ope</v>
      </c>
      <c r="J41" t="b">
        <v>1</v>
      </c>
    </row>
  </sheetData>
  <pageMargins left="0.511811024" right="0.511811024" top="0.787401575" bottom="0.787401575" header="0.31496062" footer="0.31496062"/>
  <ignoredErrors>
    <ignoredError numberStoredAsText="1" sqref="A1:J41"/>
  </ignoredErrors>
</worksheet>
</file>

<file path=xl/worksheets/sheet16.xml><?xml version="1.0" encoding="utf-8"?>
<worksheet xmlns="http://schemas.openxmlformats.org/spreadsheetml/2006/main" xmlns:r="http://schemas.openxmlformats.org/officeDocument/2006/relationships">
  <dimension ref="A1:G37"/>
  <sheetViews>
    <sheetView workbookViewId="0" rightToLeft="0"/>
  </sheetViews>
  <sheetData>
    <row r="1">
      <c r="A1" t="str">
        <v>*Id</v>
      </c>
      <c r="B1" t="str">
        <v>DatabaseId</v>
      </c>
      <c r="C1" t="str">
        <v>#DatabaseName</v>
      </c>
      <c r="D1" t="str">
        <v>Name</v>
      </c>
      <c r="E1" t="str">
        <v>Alias</v>
      </c>
      <c r="F1" t="str">
        <v>Description</v>
      </c>
      <c r="G1" t="str">
        <v>CurrentId</v>
      </c>
    </row>
    <row r="2">
      <c r="A2">
        <f>ROW(A2)-1</f>
        <v>1</v>
      </c>
      <c r="B2">
        <v>1</v>
      </c>
      <c r="C2" t="str" cm="1">
        <f t="array" ref="C2">GetValue("Db","Name",B2)</f>
        <v>crudex</v>
      </c>
      <c r="D2" t="str">
        <v>Categories</v>
      </c>
      <c r="E2" t="str">
        <v>Cat</v>
      </c>
      <c r="F2" t="str">
        <v>Categorias de Tipos</v>
      </c>
      <c r="G2" cm="1">
        <f t="array" ref="G2">GetLastId(A2)</f>
        <v>10</v>
      </c>
    </row>
    <row r="3">
      <c r="A3">
        <f>ROW(A3)-1</f>
        <v>2</v>
      </c>
      <c r="B3">
        <v>1</v>
      </c>
      <c r="C3" t="str" cm="1">
        <f t="array" ref="C3">GetValue("Db","Name",B3)</f>
        <v>crudex</v>
      </c>
      <c r="D3" t="str">
        <v>Comparators</v>
      </c>
      <c r="E3" t="str">
        <v>Cmp</v>
      </c>
      <c r="F3" t="str">
        <v>Comparadores</v>
      </c>
      <c r="G3" cm="1">
        <f t="array" ref="G3">GetLastId(A3)</f>
        <v>14</v>
      </c>
    </row>
    <row r="4">
      <c r="A4">
        <f>ROW(A4)-1</f>
        <v>3</v>
      </c>
      <c r="B4">
        <v>1</v>
      </c>
      <c r="C4" t="str" cm="1">
        <f t="array" ref="C4">GetValue("Db","Name",B4)</f>
        <v>crudex</v>
      </c>
      <c r="D4" t="str">
        <v>Rules</v>
      </c>
      <c r="E4" t="str">
        <v>Rul</v>
      </c>
      <c r="F4" t="str">
        <v>Categorias x Comparadores</v>
      </c>
      <c r="G4" cm="1">
        <f t="array" ref="G4">GetLastId(A4)</f>
        <v>68</v>
      </c>
    </row>
    <row r="5">
      <c r="A5">
        <f>ROW(A5)-1</f>
        <v>4</v>
      </c>
      <c r="B5">
        <v>1</v>
      </c>
      <c r="C5" t="str" cm="1">
        <f t="array" ref="C5">GetValue("Db","Name",B5)</f>
        <v>crudex</v>
      </c>
      <c r="D5" t="str">
        <v>Engines</v>
      </c>
      <c r="E5" t="str">
        <v>Eng</v>
      </c>
      <c r="F5" t="str">
        <v>SGBD's</v>
      </c>
      <c r="G5" cm="1">
        <f t="array" ref="G5">GetLastId(A5)</f>
        <v>10</v>
      </c>
    </row>
    <row r="6">
      <c r="A6">
        <f>ROW(A6)-1</f>
        <v>5</v>
      </c>
      <c r="B6">
        <v>1</v>
      </c>
      <c r="C6" t="str" cm="1">
        <f t="array" ref="C6">GetValue("Db","Name",B6)</f>
        <v>crudex</v>
      </c>
      <c r="D6" t="str">
        <v>Types</v>
      </c>
      <c r="E6" t="str">
        <v>Typ</v>
      </c>
      <c r="F6" t="str">
        <v>Tipos</v>
      </c>
      <c r="G6" cm="1">
        <f t="array" ref="G6">GetLastId(A6)</f>
        <v>38</v>
      </c>
    </row>
    <row r="7">
      <c r="A7">
        <f>ROW(A7)-1</f>
        <v>6</v>
      </c>
      <c r="B7">
        <v>1</v>
      </c>
      <c r="C7" t="str" cm="1">
        <f t="array" ref="C7">GetValue("Db","Name",B7)</f>
        <v>crudex</v>
      </c>
      <c r="D7" t="str">
        <v>Mappings</v>
      </c>
      <c r="E7" t="str">
        <v>Map</v>
      </c>
      <c r="F7" t="str">
        <v>SGBD's x Tipos</v>
      </c>
      <c r="G7" cm="1">
        <f t="array" ref="G7">GetLastId(A7)</f>
        <v>380</v>
      </c>
    </row>
    <row r="8">
      <c r="A8">
        <f>ROW(A8)-1</f>
        <v>7</v>
      </c>
      <c r="B8">
        <v>1</v>
      </c>
      <c r="C8" t="str" cm="1">
        <f t="array" ref="C8">GetValue("Db","Name",B8)</f>
        <v>crudex</v>
      </c>
      <c r="D8" t="str">
        <v>Owners</v>
      </c>
      <c r="E8" t="str">
        <v>Own</v>
      </c>
      <c r="F8" t="str">
        <v>Proprietários CRUDEX</v>
      </c>
      <c r="G8" cm="1">
        <f t="array" ref="G8">GetLastId(A8)</f>
        <v>5</v>
      </c>
    </row>
    <row r="9">
      <c r="A9">
        <f>ROW(A9)-1</f>
        <v>8</v>
      </c>
      <c r="B9">
        <v>1</v>
      </c>
      <c r="C9" t="str" cm="1">
        <f t="array" ref="C9">GetValue("Db","Name",B9)</f>
        <v>crudex</v>
      </c>
      <c r="D9" t="str">
        <v>Domains</v>
      </c>
      <c r="E9" t="str">
        <v>Dmn</v>
      </c>
      <c r="F9" t="str">
        <v>Domínios de Colunas</v>
      </c>
      <c r="G9" cm="1">
        <f t="array" ref="G9">GetLastId(A9)</f>
        <v>53</v>
      </c>
    </row>
    <row r="10">
      <c r="A10">
        <f>ROW(A10)-1</f>
        <v>9</v>
      </c>
      <c r="B10">
        <v>1</v>
      </c>
      <c r="C10" t="str" cm="1">
        <f t="array" ref="C10">GetValue("Db","Name",B10)</f>
        <v>crudex</v>
      </c>
      <c r="D10" t="str">
        <v>Masks</v>
      </c>
      <c r="E10" t="str">
        <v>Msk</v>
      </c>
      <c r="F10" t="str">
        <v>Máscaras de Edição</v>
      </c>
      <c r="G10" cm="1">
        <f t="array" ref="G10">GetLastId(A10)</f>
        <v>19</v>
      </c>
    </row>
    <row r="11">
      <c r="A11">
        <f>ROW(A11)-1</f>
        <v>10</v>
      </c>
      <c r="B11">
        <v>1</v>
      </c>
      <c r="C11" t="str" cm="1">
        <f t="array" ref="C11">GetValue("Db","Name",B11)</f>
        <v>crudex</v>
      </c>
      <c r="D11" t="str">
        <v>Maskings</v>
      </c>
      <c r="E11" t="str">
        <v>Mkg</v>
      </c>
      <c r="F11" t="str">
        <v>Domínios x Máscaras</v>
      </c>
      <c r="G11" cm="1">
        <f t="array" ref="G11">GetLastId(A11)</f>
        <v>19</v>
      </c>
    </row>
    <row r="12">
      <c r="A12">
        <f>ROW(A12)-1</f>
        <v>11</v>
      </c>
      <c r="B12">
        <v>1</v>
      </c>
      <c r="C12" t="str" cm="1">
        <f t="array" ref="C12">GetValue("Db","Name",B12)</f>
        <v>crudex</v>
      </c>
      <c r="D12" t="str">
        <v>Databases</v>
      </c>
      <c r="E12" t="str">
        <v>Db</v>
      </c>
      <c r="F12" t="str">
        <v>Bancos-de-dados</v>
      </c>
      <c r="G12" cm="1">
        <f t="array" ref="G12">GetLastId(A12)</f>
        <v>1</v>
      </c>
    </row>
    <row r="13">
      <c r="A13">
        <f>ROW(A13)-1</f>
        <v>12</v>
      </c>
      <c r="B13">
        <v>1</v>
      </c>
      <c r="C13" t="str" cm="1">
        <f t="array" ref="C13">GetValue("Db","Name",B13)</f>
        <v>crudex</v>
      </c>
      <c r="D13" t="str">
        <v>Environments</v>
      </c>
      <c r="E13" t="str">
        <v>Env</v>
      </c>
      <c r="F13" t="str">
        <v>Ambientes de trabalho</v>
      </c>
      <c r="G13" cm="1">
        <f t="array" ref="G13">GetLastId(A13)</f>
        <v>3</v>
      </c>
    </row>
    <row r="14">
      <c r="A14">
        <f>ROW(A14)-1</f>
        <v>13</v>
      </c>
      <c r="B14">
        <v>1</v>
      </c>
      <c r="C14" t="str" cm="1">
        <f t="array" ref="C14">GetValue("Db","Name",B14)</f>
        <v>crudex</v>
      </c>
      <c r="D14" t="str">
        <v>Connections</v>
      </c>
      <c r="E14" t="str">
        <v>Con</v>
      </c>
      <c r="F14" t="str">
        <v>Conexões de Bancos-de-Dados</v>
      </c>
      <c r="G14" cm="1">
        <f t="array" ref="G14">GetLastId(A14)</f>
        <v>3</v>
      </c>
    </row>
    <row r="15">
      <c r="A15">
        <f>ROW(A15)-1</f>
        <v>14</v>
      </c>
      <c r="B15">
        <v>1</v>
      </c>
      <c r="C15" t="str" cm="1">
        <f t="array" ref="C15">GetValue("Db","Name",B15)</f>
        <v>crudex</v>
      </c>
      <c r="D15" t="str">
        <v>Systems</v>
      </c>
      <c r="E15" t="str">
        <v>Sys</v>
      </c>
      <c r="F15" t="str">
        <v>Sistemas</v>
      </c>
      <c r="G15" cm="1">
        <f t="array" ref="G15">GetLastId(A15)</f>
        <v>1</v>
      </c>
    </row>
    <row r="16">
      <c r="A16">
        <f>ROW(A16)-1</f>
        <v>15</v>
      </c>
      <c r="B16">
        <v>1</v>
      </c>
      <c r="C16" t="str" cm="1">
        <f t="array" ref="C16">GetValue("Db","Name",B16)</f>
        <v>crudex</v>
      </c>
      <c r="D16" t="str">
        <v>Menus</v>
      </c>
      <c r="E16" t="str">
        <v>Mnu</v>
      </c>
      <c r="F16" t="str">
        <v>Menus Agrupadores de Opções</v>
      </c>
      <c r="G16" cm="1">
        <f t="array" ref="G16">GetLastId(A16)</f>
        <v>40</v>
      </c>
    </row>
    <row r="17">
      <c r="A17">
        <f>ROW(A17)-1</f>
        <v>16</v>
      </c>
      <c r="B17">
        <v>1</v>
      </c>
      <c r="C17" t="str" cm="1">
        <f t="array" ref="C17">GetValue("Db","Name",B17)</f>
        <v>crudex</v>
      </c>
      <c r="D17" t="str">
        <v>Tables</v>
      </c>
      <c r="E17" t="str">
        <v>Tbl</v>
      </c>
      <c r="F17" t="str">
        <v>Tabelas</v>
      </c>
      <c r="G17" cm="1">
        <f t="array" ref="G17">GetLastId(A17)</f>
        <v>36</v>
      </c>
    </row>
    <row r="18">
      <c r="A18">
        <f>ROW(A18)-1</f>
        <v>17</v>
      </c>
      <c r="B18">
        <v>1</v>
      </c>
      <c r="C18" t="str" cm="1">
        <f t="array" ref="C18">GetValue("Db","Name",B18)</f>
        <v>crudex</v>
      </c>
      <c r="D18" t="str">
        <v>Columns</v>
      </c>
      <c r="E18" t="str">
        <v>Col</v>
      </c>
      <c r="F18" t="str">
        <v>Colunas de Tabelas</v>
      </c>
      <c r="G18" cm="1">
        <f t="array" ref="G18">GetLastId(A18)</f>
        <v>232</v>
      </c>
    </row>
    <row r="19">
      <c r="A19">
        <f>ROW(A19)-1</f>
        <v>18</v>
      </c>
      <c r="B19">
        <v>1</v>
      </c>
      <c r="C19" t="str" cm="1">
        <f t="array" ref="C19">GetValue("Db","Name",B19)</f>
        <v>crudex</v>
      </c>
      <c r="D19" t="str">
        <v>Indexes</v>
      </c>
      <c r="E19" t="str">
        <v>Idx</v>
      </c>
      <c r="F19" t="str">
        <v>Índices de Tabelas</v>
      </c>
      <c r="G19" cm="1">
        <f t="array" ref="G19">GetLastId(A19)</f>
        <v>40</v>
      </c>
    </row>
    <row r="20">
      <c r="A20">
        <f>ROW(A20)-1</f>
        <v>19</v>
      </c>
      <c r="B20">
        <v>1</v>
      </c>
      <c r="C20" t="str" cm="1">
        <f t="array" ref="C20">GetValue("Db","Name",B20)</f>
        <v>crudex</v>
      </c>
      <c r="D20" t="str">
        <v>Indexkeys</v>
      </c>
      <c r="E20" t="str">
        <v>Idk</v>
      </c>
      <c r="F20" t="str">
        <v>Chaves de Índices</v>
      </c>
      <c r="G20" cm="1">
        <f t="array" ref="G20">GetLastId(A20)</f>
        <v>28</v>
      </c>
    </row>
    <row r="21">
      <c r="A21">
        <f>ROW(A21)-1</f>
        <v>20</v>
      </c>
      <c r="B21">
        <v>1</v>
      </c>
      <c r="C21" t="str" cm="1">
        <f t="array" ref="C21">GetValue("Db","Name",B21)</f>
        <v>crudex</v>
      </c>
      <c r="D21" t="str">
        <v>Includes</v>
      </c>
      <c r="E21" t="str">
        <v>Inc</v>
      </c>
      <c r="F21" t="str">
        <v>Colunas Não-Chaves de Índices</v>
      </c>
      <c r="G21" cm="1">
        <f t="array" ref="G21">GetLastId(A21)</f>
        <v>28</v>
      </c>
    </row>
    <row r="22">
      <c r="A22">
        <f>ROW(A22)-1</f>
        <v>21</v>
      </c>
      <c r="B22">
        <v>1</v>
      </c>
      <c r="C22" t="str" cm="1">
        <f t="array" ref="C22">GetValue("Db","Name",B22)</f>
        <v>crudex</v>
      </c>
      <c r="D22" t="str">
        <v>Unicities</v>
      </c>
      <c r="E22" t="str">
        <v>Uni</v>
      </c>
      <c r="F22" t="str">
        <v>Unicidades Cruzadas Entre Tabelas</v>
      </c>
      <c r="G22" cm="1">
        <f t="array" ref="G22">GetLastId(A22)</f>
        <v>1</v>
      </c>
    </row>
    <row r="23">
      <c r="A23">
        <f>ROW(A23)-1</f>
        <v>22</v>
      </c>
      <c r="B23">
        <v>1</v>
      </c>
      <c r="C23" t="str" cm="1">
        <f t="array" ref="C23">GetValue("Db","Name",B23)</f>
        <v>crudex</v>
      </c>
      <c r="D23" t="str">
        <v>Expressions</v>
      </c>
      <c r="E23" t="str">
        <v>Exp</v>
      </c>
      <c r="F23" t="str">
        <v>Expressões Lógicas</v>
      </c>
      <c r="G23" cm="1">
        <f t="array" ref="G23">GetLastId(A23)</f>
        <v>1</v>
      </c>
    </row>
    <row r="24">
      <c r="A24">
        <f>ROW(A24)-1</f>
        <v>23</v>
      </c>
      <c r="B24">
        <v>1</v>
      </c>
      <c r="C24" t="str" cm="1">
        <f t="array" ref="C24">GetValue("Db","Name",B24)</f>
        <v>crudex</v>
      </c>
      <c r="D24" t="str">
        <v>Conditions</v>
      </c>
      <c r="E24" t="str">
        <v>Cnd</v>
      </c>
      <c r="F24" t="str">
        <v>Condições de Expressões Lógicas</v>
      </c>
      <c r="G24" cm="1">
        <f t="array" ref="G24">GetLastId(A24)</f>
        <v>3</v>
      </c>
    </row>
    <row r="25">
      <c r="A25">
        <f>ROW(A25)-1</f>
        <v>24</v>
      </c>
      <c r="B25">
        <v>1</v>
      </c>
      <c r="C25" t="str" cm="1">
        <f t="array" ref="C25">GetValue("Db","Name",B25)</f>
        <v>crudex</v>
      </c>
      <c r="D25" t="str">
        <v>References</v>
      </c>
      <c r="E25" t="str">
        <v>Ref</v>
      </c>
      <c r="F25" t="str">
        <v>Referências entre tabelas</v>
      </c>
      <c r="G25" cm="1">
        <f t="array" ref="G25">GetLastId(A25)</f>
        <v>26</v>
      </c>
    </row>
    <row r="26">
      <c r="A26">
        <f>ROW(A26)-1</f>
        <v>25</v>
      </c>
      <c r="B26">
        <v>1</v>
      </c>
      <c r="C26" t="str" cm="1">
        <f t="array" ref="C26">GetValue("Db","Name",B26)</f>
        <v>crudex</v>
      </c>
      <c r="D26" t="str">
        <v>Referencekeys</v>
      </c>
      <c r="E26" t="str">
        <v>Rfk</v>
      </c>
      <c r="F26" t="str">
        <v>Chaves de referências</v>
      </c>
      <c r="G26" cm="1">
        <f t="array" ref="G26">GetLastId(A26)</f>
        <v>26</v>
      </c>
    </row>
    <row r="27">
      <c r="A27">
        <f>ROW(A27)-1</f>
        <v>26</v>
      </c>
      <c r="B27">
        <v>1</v>
      </c>
      <c r="C27" t="str" cm="1">
        <f t="array" ref="C27">GetValue("Db","Name",B27)</f>
        <v>crudex</v>
      </c>
      <c r="D27" t="str">
        <v>Users</v>
      </c>
      <c r="E27" t="str">
        <v>Usr</v>
      </c>
      <c r="F27" t="str">
        <v>Usuários</v>
      </c>
      <c r="G27" cm="1">
        <f t="array" ref="G27">GetLastId(A27)</f>
        <v>2</v>
      </c>
    </row>
    <row r="28">
      <c r="A28">
        <f>ROW(A28)-1</f>
        <v>27</v>
      </c>
      <c r="B28">
        <v>1</v>
      </c>
      <c r="C28" t="str" cm="1">
        <f t="array" ref="C28">GetValue("Db","Name",B28)</f>
        <v>crudex</v>
      </c>
      <c r="D28" t="str">
        <v>Permissions</v>
      </c>
      <c r="E28" t="str">
        <v>Prm</v>
      </c>
      <c r="F28" t="str">
        <v>Permissões de Acesso de Usuários</v>
      </c>
      <c r="G28" cm="1">
        <f t="array" ref="G28">GetLastId(A28)</f>
        <v>54</v>
      </c>
    </row>
    <row r="29">
      <c r="A29">
        <f>ROW(A29)-1</f>
        <v>28</v>
      </c>
      <c r="B29">
        <v>1</v>
      </c>
      <c r="C29" t="str" cm="1">
        <f t="array" ref="C29">GetValue("Db","Name",B29)</f>
        <v>crudex</v>
      </c>
      <c r="D29" t="str">
        <v>Properties</v>
      </c>
      <c r="E29" t="str">
        <v>Prp</v>
      </c>
      <c r="F29" t="str">
        <v>Propriedades HTML</v>
      </c>
      <c r="G29" cm="1">
        <f t="array" ref="G29">GetLastId(A29)</f>
        <v>19</v>
      </c>
    </row>
    <row r="30">
      <c r="A30">
        <f>ROW(A30)-1</f>
        <v>29</v>
      </c>
      <c r="B30">
        <v>1</v>
      </c>
      <c r="C30" t="str" cm="1">
        <f t="array" ref="C30">GetValue("Db","Name",B30)</f>
        <v>crudex</v>
      </c>
      <c r="D30" t="str">
        <v>Behaviors</v>
      </c>
      <c r="E30" t="str">
        <v>Bhv</v>
      </c>
      <c r="F30" t="str">
        <v>Comportamentos de Formulários</v>
      </c>
      <c r="G30" cm="1">
        <f t="array" ref="G30">GetLastId(A30)</f>
        <v>1</v>
      </c>
    </row>
    <row r="31">
      <c r="A31">
        <f>ROW(A31)-1</f>
        <v>30</v>
      </c>
      <c r="B31">
        <v>1</v>
      </c>
      <c r="C31" t="str" cm="1">
        <f t="array" ref="C31">GetValue("Db","Name",B31)</f>
        <v>crudex</v>
      </c>
      <c r="D31" t="str">
        <v>Schedulers</v>
      </c>
      <c r="E31" t="str">
        <v>Sch</v>
      </c>
      <c r="F31" t="str">
        <v>Agendamentos de Tarefas</v>
      </c>
      <c r="G31" cm="1">
        <f t="array" ref="G31">GetLastId(A31)</f>
        <v>1</v>
      </c>
    </row>
    <row r="32">
      <c r="A32">
        <f>ROW(A32)-1</f>
        <v>31</v>
      </c>
      <c r="B32">
        <v>1</v>
      </c>
      <c r="C32" t="str" cm="1">
        <f t="array" ref="C32">GetValue("Db","Name",B32)</f>
        <v>crudex</v>
      </c>
      <c r="D32" t="str">
        <v>Snipers</v>
      </c>
      <c r="E32" t="str">
        <v>Snp</v>
      </c>
      <c r="F32" t="str">
        <v>Snipers Pré/Pós CRUD</v>
      </c>
      <c r="G32" cm="1">
        <f t="array" ref="G32">GetLastId(A32)</f>
        <v>1</v>
      </c>
    </row>
    <row r="33">
      <c r="A33">
        <f>ROW(A33)-1</f>
        <v>32</v>
      </c>
      <c r="B33">
        <v>1</v>
      </c>
      <c r="C33" t="str" cm="1">
        <f t="array" ref="C33">GetValue("Db","Name",B33)</f>
        <v>crudex</v>
      </c>
      <c r="D33" t="str">
        <v>Scripts</v>
      </c>
      <c r="E33" t="str">
        <v>Scr</v>
      </c>
      <c r="F33" t="str">
        <v>Scripts de Snipers</v>
      </c>
      <c r="G33" cm="1">
        <f t="array" ref="G33">GetLastId(A33)</f>
        <v>1</v>
      </c>
    </row>
    <row r="34">
      <c r="A34">
        <f>ROW(A34)-1</f>
        <v>33</v>
      </c>
      <c r="B34">
        <v>1</v>
      </c>
      <c r="C34" t="str" cm="1">
        <f t="array" ref="C34">GetValue("Db","Name",B34)</f>
        <v>crudex</v>
      </c>
      <c r="D34" t="str">
        <v>Urls</v>
      </c>
      <c r="E34" t="str">
        <v>Url</v>
      </c>
      <c r="F34" t="str">
        <v>URL's HTTP/HTTPS de Snipers</v>
      </c>
      <c r="G34" cm="1">
        <f t="array" ref="G34">GetLastId(A34)</f>
        <v>1</v>
      </c>
    </row>
    <row r="35">
      <c r="A35">
        <f>ROW(A35)-1</f>
        <v>34</v>
      </c>
      <c r="B35">
        <v>1</v>
      </c>
      <c r="C35" t="str" cm="1">
        <f t="array" ref="C35">GetValue("Db","Name",B35)</f>
        <v>crudex</v>
      </c>
      <c r="D35" t="str">
        <v>Sessions</v>
      </c>
      <c r="E35" t="str">
        <v>Ses</v>
      </c>
      <c r="F35" t="str">
        <v>Sessões de Logins</v>
      </c>
      <c r="G35" cm="1">
        <f t="array" ref="G35">GetLastId(A35)</f>
        <v>1</v>
      </c>
    </row>
    <row r="36">
      <c r="A36">
        <f>ROW(A36)-1</f>
        <v>35</v>
      </c>
      <c r="B36">
        <v>1</v>
      </c>
      <c r="C36" t="str" cm="1">
        <f t="array" ref="C36">GetValue("Db","Name",B36)</f>
        <v>crudex</v>
      </c>
      <c r="D36" t="str">
        <v>Transactions</v>
      </c>
      <c r="E36" t="str">
        <v>Trs</v>
      </c>
      <c r="F36" t="str">
        <v>Transações CRUD</v>
      </c>
      <c r="G36" cm="1">
        <f t="array" ref="G36">GetLastId(A36)</f>
        <v>1</v>
      </c>
    </row>
    <row r="37">
      <c r="A37">
        <f>ROW(A37)-1</f>
        <v>36</v>
      </c>
      <c r="B37">
        <v>1</v>
      </c>
      <c r="C37" t="str" cm="1">
        <f t="array" ref="C37">GetValue("Db","Name",B37)</f>
        <v>crudex</v>
      </c>
      <c r="D37" t="str">
        <v>Operations</v>
      </c>
      <c r="E37" t="str">
        <v>Ope</v>
      </c>
      <c r="F37" t="str">
        <v>Operações CRUD</v>
      </c>
      <c r="G37" cm="1">
        <f t="array" ref="G37">GetLastId(A37)</f>
        <v>1</v>
      </c>
    </row>
  </sheetData>
  <pageMargins left="0.511811024" right="0.511811024" top="0.787401575" bottom="0.787401575" header="0.31496062" footer="0.31496062"/>
  <ignoredErrors>
    <ignoredError numberStoredAsText="1" sqref="A1:G37"/>
  </ignoredErrors>
</worksheet>
</file>

<file path=xl/worksheets/sheet17.xml><?xml version="1.0" encoding="utf-8"?>
<worksheet xmlns="http://schemas.openxmlformats.org/spreadsheetml/2006/main" xmlns:r="http://schemas.openxmlformats.org/officeDocument/2006/relationships">
  <dimension ref="A1:T233"/>
  <sheetViews>
    <sheetView workbookViewId="0" rightToLeft="0"/>
  </sheetViews>
  <sheetData>
    <row r="1">
      <c r="A1" t="str">
        <v>*Id</v>
      </c>
      <c r="B1" t="str">
        <v>TableId</v>
      </c>
      <c r="C1" t="str">
        <v>#TableAlias</v>
      </c>
      <c r="D1" t="str">
        <v>DomainId</v>
      </c>
      <c r="E1" t="str">
        <v>#DomainName</v>
      </c>
      <c r="F1" t="str">
        <v>#CategoryName</v>
      </c>
      <c r="G1" t="str">
        <v>Sequence</v>
      </c>
      <c r="H1" t="str">
        <v>Name</v>
      </c>
      <c r="I1" t="str">
        <v>Description</v>
      </c>
      <c r="J1" t="str">
        <v>Caption</v>
      </c>
      <c r="K1" t="str">
        <v>IsRequired</v>
      </c>
      <c r="L1" t="str">
        <v>IsPrimaryKey</v>
      </c>
      <c r="M1" t="str">
        <v>IsAutoincrement</v>
      </c>
      <c r="N1" t="str">
        <v>IsFilterable</v>
      </c>
      <c r="O1" t="str">
        <v>IsEditable</v>
      </c>
      <c r="P1" t="str">
        <v>IsGridable</v>
      </c>
      <c r="Q1" t="str">
        <v>IsListable</v>
      </c>
      <c r="R1" t="str">
        <v>IsEncrypted</v>
      </c>
      <c r="S1" t="str">
        <v>IsInWords</v>
      </c>
      <c r="T1" t="str">
        <v>IsVirtual</v>
      </c>
    </row>
    <row r="2">
      <c r="A2">
        <f>ROW(A2)-1</f>
        <v>1</v>
      </c>
      <c r="B2">
        <v>1</v>
      </c>
      <c r="C2" t="str" cm="1">
        <f t="array" ref="C2">GetValue("Tbl","Alias",B2)</f>
        <v>Cat</v>
      </c>
      <c r="D2">
        <v>5</v>
      </c>
      <c r="E2" t="str" cm="1">
        <f t="array" ref="E2">GetValue("Dmn","Name",D2)</f>
        <v>TinyInteger</v>
      </c>
      <c r="F2" t="str" cm="1">
        <f t="array" ref="F2">GetValue("Dmn","#CategoryName",D2)</f>
        <v>number</v>
      </c>
      <c r="G2">
        <f>IF(H2="Id",5,G1+5)</f>
        <v>5</v>
      </c>
      <c r="H2" t="str" cm="1">
        <f t="array" ref="H2">GetColumnName(C2,IF(B2=B1,H1,""))</f>
        <v>Id</v>
      </c>
      <c r="I2" t="str">
        <f>H2</f>
        <v>Id</v>
      </c>
      <c r="J2" t="str">
        <f>H2</f>
        <v>Id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</row>
    <row r="3">
      <c r="A3">
        <f>ROW(A3)-1</f>
        <v>2</v>
      </c>
      <c r="B3">
        <v>1</v>
      </c>
      <c r="C3" t="str" cm="1">
        <f t="array" ref="C3">GetValue("Tbl","Alias",B3)</f>
        <v>Cat</v>
      </c>
      <c r="D3">
        <v>10</v>
      </c>
      <c r="E3" t="str" cm="1">
        <f t="array" ref="E3">GetValue("Dmn","Name",D3)</f>
        <v>NVARCHAR(25)</v>
      </c>
      <c r="F3" t="str" cm="1">
        <f t="array" ref="F3">GetValue("Dmn","#CategoryName",D3)</f>
        <v>string</v>
      </c>
      <c r="G3">
        <f>IF(H3="Id",5,G2+5)</f>
        <v>10</v>
      </c>
      <c r="H3" t="str" cm="1">
        <f t="array" ref="H3">GetColumnName(C3,IF(B3=B2,H2,""))</f>
        <v>Name</v>
      </c>
      <c r="I3" t="str">
        <f>H3</f>
        <v>Name</v>
      </c>
      <c r="J3" t="str">
        <f>H3</f>
        <v>Name</v>
      </c>
      <c r="K3" t="b">
        <v>1</v>
      </c>
      <c r="L3" t="b">
        <v>0</v>
      </c>
      <c r="M3" t="b">
        <v>0</v>
      </c>
      <c r="N3" t="b">
        <v>1</v>
      </c>
      <c r="O3" t="b">
        <v>1</v>
      </c>
      <c r="P3" t="b">
        <v>1</v>
      </c>
      <c r="Q3" t="b">
        <v>1</v>
      </c>
      <c r="R3" t="b">
        <v>0</v>
      </c>
      <c r="S3" t="b">
        <v>0</v>
      </c>
      <c r="T3" t="b">
        <v>0</v>
      </c>
    </row>
    <row r="4">
      <c r="A4">
        <f>ROW(A4)-1</f>
        <v>3</v>
      </c>
      <c r="B4">
        <v>1</v>
      </c>
      <c r="C4" t="str" cm="1">
        <f t="array" ref="C4">GetValue("Tbl","Alias",B4)</f>
        <v>Cat</v>
      </c>
      <c r="D4">
        <v>6</v>
      </c>
      <c r="E4" t="str" cm="1">
        <f t="array" ref="E4">GetValue("Dmn","Name",D4)</f>
        <v>Boolean</v>
      </c>
      <c r="F4" t="str" cm="1">
        <f t="array" ref="F4">GetValue("Dmn","#CategoryName",D4)</f>
        <v>boolean</v>
      </c>
      <c r="G4">
        <f>IF(H4="Id",5,G3+5)</f>
        <v>15</v>
      </c>
      <c r="H4" t="str" cm="1">
        <f t="array" ref="H4">GetColumnName(C4,IF(B4=B3,H3,""))</f>
        <v>AskDefault</v>
      </c>
      <c r="I4" t="str">
        <f>H4</f>
        <v>AskDefault</v>
      </c>
      <c r="J4" t="str">
        <f>H4</f>
        <v>AskDefault</v>
      </c>
      <c r="K4" t="b">
        <v>1</v>
      </c>
      <c r="L4" t="b">
        <v>0</v>
      </c>
      <c r="M4" t="b">
        <v>0</v>
      </c>
      <c r="N4" t="b">
        <v>1</v>
      </c>
      <c r="O4" t="b">
        <v>1</v>
      </c>
      <c r="P4" t="b">
        <v>1</v>
      </c>
      <c r="Q4" t="b">
        <v>0</v>
      </c>
      <c r="R4" t="b">
        <v>0</v>
      </c>
      <c r="S4" t="b">
        <v>0</v>
      </c>
      <c r="T4" t="b">
        <v>0</v>
      </c>
    </row>
    <row r="5">
      <c r="A5">
        <f>ROW(A5)-1</f>
        <v>4</v>
      </c>
      <c r="B5">
        <v>1</v>
      </c>
      <c r="C5" t="str" cm="1">
        <f t="array" ref="C5">GetValue("Tbl","Alias",B5)</f>
        <v>Cat</v>
      </c>
      <c r="D5">
        <v>6</v>
      </c>
      <c r="E5" t="str" cm="1">
        <f t="array" ref="E5">GetValue("Dmn","Name",D5)</f>
        <v>Boolean</v>
      </c>
      <c r="F5" t="str" cm="1">
        <f t="array" ref="F5">GetValue("Dmn","#CategoryName",D5)</f>
        <v>boolean</v>
      </c>
      <c r="G5">
        <f>IF(H5="Id",5,G4+5)</f>
        <v>20</v>
      </c>
      <c r="H5" t="str" cm="1">
        <f t="array" ref="H5">GetColumnName(C5,IF(B5=B4,H4,""))</f>
        <v>AskMinimum</v>
      </c>
      <c r="I5" t="str">
        <f>H5</f>
        <v>AskMinimum</v>
      </c>
      <c r="J5" t="str">
        <f>H5</f>
        <v>AskMinimum</v>
      </c>
      <c r="K5" t="b">
        <v>1</v>
      </c>
      <c r="L5" t="b">
        <v>0</v>
      </c>
      <c r="M5" t="b">
        <v>0</v>
      </c>
      <c r="N5" t="b">
        <v>1</v>
      </c>
      <c r="O5" t="b">
        <v>1</v>
      </c>
      <c r="P5" t="b">
        <v>1</v>
      </c>
      <c r="Q5" t="b">
        <v>0</v>
      </c>
      <c r="R5" t="b">
        <v>0</v>
      </c>
      <c r="S5" t="b">
        <v>0</v>
      </c>
      <c r="T5" t="b">
        <v>0</v>
      </c>
    </row>
    <row r="6">
      <c r="A6">
        <f>ROW(A6)-1</f>
        <v>5</v>
      </c>
      <c r="B6">
        <v>1</v>
      </c>
      <c r="C6" t="str" cm="1">
        <f t="array" ref="C6">GetValue("Tbl","Alias",B6)</f>
        <v>Cat</v>
      </c>
      <c r="D6">
        <v>6</v>
      </c>
      <c r="E6" t="str" cm="1">
        <f t="array" ref="E6">GetValue("Dmn","Name",D6)</f>
        <v>Boolean</v>
      </c>
      <c r="F6" t="str" cm="1">
        <f t="array" ref="F6">GetValue("Dmn","#CategoryName",D6)</f>
        <v>boolean</v>
      </c>
      <c r="G6">
        <f>IF(H6="Id",5,G5+5)</f>
        <v>25</v>
      </c>
      <c r="H6" t="str" cm="1">
        <f t="array" ref="H6">GetColumnName(C6,IF(B6=B5,H5,""))</f>
        <v>AskMaximum</v>
      </c>
      <c r="I6" t="str">
        <f>H6</f>
        <v>AskMaximum</v>
      </c>
      <c r="J6" t="str">
        <f>H6</f>
        <v>AskMaximum</v>
      </c>
      <c r="K6" t="b">
        <v>1</v>
      </c>
      <c r="L6" t="b">
        <v>0</v>
      </c>
      <c r="M6" t="b">
        <v>0</v>
      </c>
      <c r="N6" t="b">
        <v>1</v>
      </c>
      <c r="O6" t="b">
        <v>1</v>
      </c>
      <c r="P6" t="b">
        <v>1</v>
      </c>
      <c r="Q6" t="b">
        <v>0</v>
      </c>
      <c r="R6" t="b">
        <v>0</v>
      </c>
      <c r="S6" t="b">
        <v>0</v>
      </c>
      <c r="T6" t="b">
        <v>0</v>
      </c>
    </row>
    <row r="7">
      <c r="A7">
        <f>ROW(A7)-1</f>
        <v>6</v>
      </c>
      <c r="B7">
        <v>1</v>
      </c>
      <c r="C7" t="str" cm="1">
        <f t="array" ref="C7">GetValue("Tbl","Alias",B7)</f>
        <v>Cat</v>
      </c>
      <c r="D7">
        <v>6</v>
      </c>
      <c r="E7" t="str" cm="1">
        <f t="array" ref="E7">GetValue("Dmn","Name",D7)</f>
        <v>Boolean</v>
      </c>
      <c r="F7" t="str" cm="1">
        <f t="array" ref="F7">GetValue("Dmn","#CategoryName",D7)</f>
        <v>boolean</v>
      </c>
      <c r="G7">
        <f>IF(H7="Id",5,G6+5)</f>
        <v>30</v>
      </c>
      <c r="H7" t="str" cm="1">
        <f t="array" ref="H7">GetColumnName(C7,IF(B7=B6,H6,""))</f>
        <v>AskInWords</v>
      </c>
      <c r="I7" t="str">
        <f>H7</f>
        <v>AskInWords</v>
      </c>
      <c r="J7" t="str">
        <f>H7</f>
        <v>AskInWords</v>
      </c>
      <c r="K7" t="b">
        <v>1</v>
      </c>
      <c r="L7" t="b">
        <v>0</v>
      </c>
      <c r="M7" t="b">
        <v>0</v>
      </c>
      <c r="N7" t="b">
        <v>1</v>
      </c>
      <c r="O7" t="b">
        <v>1</v>
      </c>
      <c r="P7" t="b">
        <v>1</v>
      </c>
      <c r="Q7" t="b">
        <v>0</v>
      </c>
      <c r="R7" t="b">
        <v>0</v>
      </c>
      <c r="S7" t="b">
        <v>0</v>
      </c>
      <c r="T7" t="b">
        <v>0</v>
      </c>
    </row>
    <row r="8">
      <c r="A8">
        <f>ROW(A8)-1</f>
        <v>7</v>
      </c>
      <c r="B8">
        <v>1</v>
      </c>
      <c r="C8" t="str" cm="1">
        <f t="array" ref="C8">GetValue("Tbl","Alias",B8)</f>
        <v>Cat</v>
      </c>
      <c r="D8">
        <v>6</v>
      </c>
      <c r="E8" t="str" cm="1">
        <f t="array" ref="E8">GetValue("Dmn","Name",D8)</f>
        <v>Boolean</v>
      </c>
      <c r="F8" t="str" cm="1">
        <f t="array" ref="F8">GetValue("Dmn","#CategoryName",D8)</f>
        <v>boolean</v>
      </c>
      <c r="G8">
        <f>IF(H8="Id",5,G7+5)</f>
        <v>35</v>
      </c>
      <c r="H8" t="str" cm="1">
        <f t="array" ref="H8">GetColumnName(C8,IF(B8=B7,H7,""))</f>
        <v>AskMask</v>
      </c>
      <c r="I8" t="str">
        <f>H8</f>
        <v>AskMask</v>
      </c>
      <c r="J8" t="str">
        <f>H8</f>
        <v>AskMask</v>
      </c>
      <c r="K8" t="b">
        <v>1</v>
      </c>
      <c r="L8" t="b">
        <v>0</v>
      </c>
      <c r="M8" t="b">
        <v>0</v>
      </c>
      <c r="N8" t="b">
        <v>1</v>
      </c>
      <c r="O8" t="b">
        <v>1</v>
      </c>
      <c r="P8" t="b">
        <v>1</v>
      </c>
      <c r="Q8" t="b">
        <v>0</v>
      </c>
      <c r="R8" t="b">
        <v>0</v>
      </c>
      <c r="S8" t="b">
        <v>0</v>
      </c>
      <c r="T8" t="b">
        <v>0</v>
      </c>
    </row>
    <row r="9">
      <c r="A9">
        <f>ROW(A9)-1</f>
        <v>8</v>
      </c>
      <c r="B9">
        <v>1</v>
      </c>
      <c r="C9" t="str" cm="1">
        <f t="array" ref="C9">GetValue("Tbl","Alias",B9)</f>
        <v>Cat</v>
      </c>
      <c r="D9">
        <v>6</v>
      </c>
      <c r="E9" t="str" cm="1">
        <f t="array" ref="E9">GetValue("Dmn","Name",D9)</f>
        <v>Boolean</v>
      </c>
      <c r="F9" t="str" cm="1">
        <f t="array" ref="F9">GetValue("Dmn","#CategoryName",D9)</f>
        <v>boolean</v>
      </c>
      <c r="G9">
        <f>IF(H9="Id",5,G8+5)</f>
        <v>40</v>
      </c>
      <c r="H9" t="str" cm="1">
        <f t="array" ref="H9">GetColumnName(C9,IF(B9=B8,H8,""))</f>
        <v>AskGridable</v>
      </c>
      <c r="I9" t="str">
        <f>H9</f>
        <v>AskGridable</v>
      </c>
      <c r="J9" t="str">
        <f>H9</f>
        <v>AskGridable</v>
      </c>
      <c r="K9" t="b">
        <v>1</v>
      </c>
      <c r="L9" t="b">
        <v>0</v>
      </c>
      <c r="M9" t="b">
        <v>0</v>
      </c>
      <c r="N9" t="b">
        <v>1</v>
      </c>
      <c r="O9" t="b">
        <v>1</v>
      </c>
      <c r="P9" t="b">
        <v>1</v>
      </c>
      <c r="Q9" t="b">
        <v>0</v>
      </c>
      <c r="R9" t="b">
        <v>0</v>
      </c>
      <c r="S9" t="b">
        <v>0</v>
      </c>
      <c r="T9" t="b">
        <v>0</v>
      </c>
    </row>
    <row r="10">
      <c r="A10">
        <f>ROW(A10)-1</f>
        <v>9</v>
      </c>
      <c r="B10">
        <v>1</v>
      </c>
      <c r="C10" t="str" cm="1">
        <f t="array" ref="C10">GetValue("Tbl","Alias",B10)</f>
        <v>Cat</v>
      </c>
      <c r="D10">
        <v>6</v>
      </c>
      <c r="E10" t="str" cm="1">
        <f t="array" ref="E10">GetValue("Dmn","Name",D10)</f>
        <v>Boolean</v>
      </c>
      <c r="F10" t="str" cm="1">
        <f t="array" ref="F10">GetValue("Dmn","#CategoryName",D10)</f>
        <v>boolean</v>
      </c>
      <c r="G10">
        <f>IF(H10="Id",5,G9+5)</f>
        <v>45</v>
      </c>
      <c r="H10" t="str" cm="1">
        <f t="array" ref="H10">GetColumnName(C10,IF(B10=B9,H9,""))</f>
        <v>AskFilterable</v>
      </c>
      <c r="I10" t="str">
        <f>H10</f>
        <v>AskFilterable</v>
      </c>
      <c r="J10" t="str">
        <f>H10</f>
        <v>AskFilterable</v>
      </c>
      <c r="K10" t="b">
        <v>1</v>
      </c>
      <c r="L10" t="b">
        <v>0</v>
      </c>
      <c r="M10" t="b">
        <v>0</v>
      </c>
      <c r="N10" t="b">
        <v>1</v>
      </c>
      <c r="O10" t="b">
        <v>1</v>
      </c>
      <c r="P10" t="b">
        <v>1</v>
      </c>
      <c r="Q10" t="b">
        <v>0</v>
      </c>
      <c r="R10" t="b">
        <v>0</v>
      </c>
      <c r="S10" t="b">
        <v>0</v>
      </c>
      <c r="T10" t="b">
        <v>0</v>
      </c>
    </row>
    <row r="11">
      <c r="A11">
        <f>ROW(A11)-1</f>
        <v>10</v>
      </c>
      <c r="B11">
        <v>1</v>
      </c>
      <c r="C11" t="str" cm="1">
        <f t="array" ref="C11">GetValue("Tbl","Alias",B11)</f>
        <v>Cat</v>
      </c>
      <c r="D11">
        <v>6</v>
      </c>
      <c r="E11" t="str" cm="1">
        <f t="array" ref="E11">GetValue("Dmn","Name",D11)</f>
        <v>Boolean</v>
      </c>
      <c r="F11" t="str" cm="1">
        <f t="array" ref="F11">GetValue("Dmn","#CategoryName",D11)</f>
        <v>boolean</v>
      </c>
      <c r="G11">
        <f>IF(H11="Id",5,G10+5)</f>
        <v>50</v>
      </c>
      <c r="H11" t="str" cm="1">
        <f t="array" ref="H11">GetColumnName(C11,IF(B11=B10,H10,""))</f>
        <v>AskEncrypted</v>
      </c>
      <c r="I11" t="str">
        <f>H11</f>
        <v>AskEncrypted</v>
      </c>
      <c r="J11" t="str">
        <f>H11</f>
        <v>AskEncrypted</v>
      </c>
      <c r="K11" t="b">
        <v>1</v>
      </c>
      <c r="L11" t="b">
        <v>0</v>
      </c>
      <c r="M11" t="b">
        <v>0</v>
      </c>
      <c r="N11" t="b">
        <v>1</v>
      </c>
      <c r="O11" t="b">
        <v>1</v>
      </c>
      <c r="P11" t="b">
        <v>1</v>
      </c>
      <c r="Q11" t="b">
        <v>0</v>
      </c>
      <c r="R11" t="b">
        <v>0</v>
      </c>
      <c r="S11" t="b">
        <v>0</v>
      </c>
      <c r="T11" t="b">
        <v>0</v>
      </c>
    </row>
    <row r="12">
      <c r="A12">
        <f>ROW(A12)-1</f>
        <v>11</v>
      </c>
      <c r="B12">
        <v>1</v>
      </c>
      <c r="C12" t="str" cm="1">
        <f t="array" ref="C12">GetValue("Tbl","Alias",B12)</f>
        <v>Cat</v>
      </c>
      <c r="D12">
        <v>6</v>
      </c>
      <c r="E12" t="str" cm="1">
        <f t="array" ref="E12">GetValue("Dmn","Name",D12)</f>
        <v>Boolean</v>
      </c>
      <c r="F12" t="str" cm="1">
        <f t="array" ref="F12">GetValue("Dmn","#CategoryName",D12)</f>
        <v>boolean</v>
      </c>
      <c r="G12">
        <f>IF(H12="Id",5,G11+5)</f>
        <v>55</v>
      </c>
      <c r="H12" t="str" cm="1">
        <f t="array" ref="H12">GetColumnName(C12,IF(B12=B11,H11,""))</f>
        <v>AskListable</v>
      </c>
      <c r="I12" t="str">
        <f>H12</f>
        <v>AskListable</v>
      </c>
      <c r="J12" t="str">
        <f>H12</f>
        <v>AskListable</v>
      </c>
      <c r="K12" t="b">
        <v>1</v>
      </c>
      <c r="L12" t="b">
        <v>0</v>
      </c>
      <c r="M12" t="b">
        <v>0</v>
      </c>
      <c r="N12" t="b">
        <v>1</v>
      </c>
      <c r="O12" t="b">
        <v>1</v>
      </c>
      <c r="P12" t="b">
        <v>1</v>
      </c>
      <c r="Q12" t="b">
        <v>0</v>
      </c>
      <c r="R12" t="b">
        <v>0</v>
      </c>
      <c r="S12" t="b">
        <v>0</v>
      </c>
      <c r="T12" t="b">
        <v>0</v>
      </c>
    </row>
    <row r="13">
      <c r="A13">
        <f>ROW(A13)-1</f>
        <v>12</v>
      </c>
      <c r="B13">
        <v>2</v>
      </c>
      <c r="C13" t="str" cm="1">
        <f t="array" ref="C13">GetValue("Tbl","Alias",B13)</f>
        <v>Cmp</v>
      </c>
      <c r="D13">
        <v>5</v>
      </c>
      <c r="E13" t="str" cm="1">
        <f t="array" ref="E13">GetValue("Dmn","Name",D13)</f>
        <v>TinyInteger</v>
      </c>
      <c r="F13" t="str" cm="1">
        <f t="array" ref="F13">GetValue("Dmn","#CategoryName",D13)</f>
        <v>number</v>
      </c>
      <c r="G13">
        <f>IF(H13="Id",5,G12+5)</f>
        <v>5</v>
      </c>
      <c r="H13" t="str" cm="1">
        <f t="array" ref="H13">GetColumnName(C13,IF(B13=B12,H12,""))</f>
        <v>Id</v>
      </c>
      <c r="I13" t="str">
        <f>H13</f>
        <v>Id</v>
      </c>
      <c r="J13" t="str">
        <f>H13</f>
        <v>Id</v>
      </c>
      <c r="K13" t="b">
        <v>1</v>
      </c>
      <c r="L13" t="b">
        <v>1</v>
      </c>
      <c r="M13" t="b">
        <v>1</v>
      </c>
      <c r="N13" t="b">
        <v>1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</row>
    <row r="14">
      <c r="A14">
        <f>ROW(A14)-1</f>
        <v>13</v>
      </c>
      <c r="B14">
        <v>2</v>
      </c>
      <c r="C14" t="str" cm="1">
        <f t="array" ref="C14">GetValue("Tbl","Alias",B14)</f>
        <v>Cmp</v>
      </c>
      <c r="D14">
        <v>14</v>
      </c>
      <c r="E14" t="str" cm="1">
        <f t="array" ref="E14">GetValue("Dmn","Name",D14)</f>
        <v>NCHAR(1)</v>
      </c>
      <c r="F14" t="str" cm="1">
        <f t="array" ref="F14">GetValue("Dmn","#CategoryName",D14)</f>
        <v>string</v>
      </c>
      <c r="G14">
        <f>IF(H14="Id",5,G13+5)</f>
        <v>10</v>
      </c>
      <c r="H14" t="str" cm="1">
        <f t="array" ref="H14">GetColumnName(C14,IF(B14=B13,H13,""))</f>
        <v>Symbol</v>
      </c>
      <c r="I14" t="str">
        <f>H14</f>
        <v>Symbol</v>
      </c>
      <c r="J14" t="str">
        <f>H14</f>
        <v>Symbol</v>
      </c>
      <c r="K14" t="b">
        <v>1</v>
      </c>
      <c r="L14" t="b">
        <v>0</v>
      </c>
      <c r="M14" t="b">
        <v>0</v>
      </c>
      <c r="N14" t="b">
        <v>1</v>
      </c>
      <c r="O14" t="b">
        <v>1</v>
      </c>
      <c r="P14" t="b">
        <v>1</v>
      </c>
      <c r="Q14" t="b">
        <v>1</v>
      </c>
      <c r="R14" t="b">
        <v>0</v>
      </c>
      <c r="S14" t="b">
        <v>0</v>
      </c>
      <c r="T14" t="b">
        <v>0</v>
      </c>
    </row>
    <row r="15">
      <c r="A15">
        <f>ROW(A15)-1</f>
        <v>14</v>
      </c>
      <c r="B15">
        <v>2</v>
      </c>
      <c r="C15" t="str" cm="1">
        <f t="array" ref="C15">GetValue("Tbl","Alias",B15)</f>
        <v>Cmp</v>
      </c>
      <c r="D15">
        <v>11</v>
      </c>
      <c r="E15" t="str" cm="1">
        <f t="array" ref="E15">GetValue("Dmn","Name",D15)</f>
        <v>NVARCHAR(50)</v>
      </c>
      <c r="F15" t="str" cm="1">
        <f t="array" ref="F15">GetValue("Dmn","#CategoryName",D15)</f>
        <v>string</v>
      </c>
      <c r="G15">
        <f>IF(H15="Id",5,G14+5)</f>
        <v>15</v>
      </c>
      <c r="H15" t="str" cm="1">
        <f t="array" ref="H15">GetColumnName(C15,IF(B15=B14,H14,""))</f>
        <v>Description</v>
      </c>
      <c r="I15" t="str">
        <f>H15</f>
        <v>Description</v>
      </c>
      <c r="J15" t="str">
        <f>H15</f>
        <v>Description</v>
      </c>
      <c r="K15" t="b">
        <v>1</v>
      </c>
      <c r="L15" t="b">
        <v>0</v>
      </c>
      <c r="M15" t="b">
        <v>0</v>
      </c>
      <c r="N15" t="b">
        <v>1</v>
      </c>
      <c r="O15" t="b">
        <v>1</v>
      </c>
      <c r="P15" t="b">
        <v>1</v>
      </c>
      <c r="Q15" t="b">
        <v>0</v>
      </c>
      <c r="R15" t="b">
        <v>0</v>
      </c>
      <c r="S15" t="b">
        <v>0</v>
      </c>
      <c r="T15" t="b">
        <v>0</v>
      </c>
    </row>
    <row r="16">
      <c r="A16">
        <f>ROW(A16)-1</f>
        <v>15</v>
      </c>
      <c r="B16">
        <v>2</v>
      </c>
      <c r="C16" t="str" cm="1">
        <f t="array" ref="C16">GetValue("Tbl","Alias",B16)</f>
        <v>Cmp</v>
      </c>
      <c r="D16">
        <v>5</v>
      </c>
      <c r="E16" t="str" cm="1">
        <f t="array" ref="E16">GetValue("Dmn","Name",D16)</f>
        <v>TinyInteger</v>
      </c>
      <c r="F16" t="str" cm="1">
        <f t="array" ref="F16">GetValue("Dmn","#CategoryName",D16)</f>
        <v>number</v>
      </c>
      <c r="G16">
        <f>IF(H16="Id",5,G15+5)</f>
        <v>20</v>
      </c>
      <c r="H16" t="str" cm="1">
        <f t="array" ref="H16">GetColumnName(C16,IF(B16=B15,H15,""))</f>
        <v>Arity</v>
      </c>
      <c r="I16" t="str">
        <f>H16</f>
        <v>Arity</v>
      </c>
      <c r="J16" t="str">
        <f>H16</f>
        <v>Arity</v>
      </c>
      <c r="K16" t="b">
        <v>0</v>
      </c>
      <c r="L16" t="b">
        <v>0</v>
      </c>
      <c r="M16" t="b">
        <v>0</v>
      </c>
      <c r="N16" t="b">
        <v>1</v>
      </c>
      <c r="O16" t="b">
        <v>1</v>
      </c>
      <c r="P16" t="b">
        <v>1</v>
      </c>
      <c r="Q16" t="b">
        <v>0</v>
      </c>
      <c r="R16" t="b">
        <v>0</v>
      </c>
      <c r="S16" t="b">
        <v>0</v>
      </c>
      <c r="T16" t="b">
        <v>0</v>
      </c>
    </row>
    <row r="17">
      <c r="A17">
        <f>ROW(A17)-1</f>
        <v>16</v>
      </c>
      <c r="B17">
        <v>3</v>
      </c>
      <c r="C17" t="str" cm="1">
        <f t="array" ref="C17">GetValue("Tbl","Alias",B17)</f>
        <v>Rul</v>
      </c>
      <c r="D17">
        <v>5</v>
      </c>
      <c r="E17" t="str" cm="1">
        <f t="array" ref="E17">GetValue("Dmn","Name",D17)</f>
        <v>TinyInteger</v>
      </c>
      <c r="F17" t="str" cm="1">
        <f t="array" ref="F17">GetValue("Dmn","#CategoryName",D17)</f>
        <v>number</v>
      </c>
      <c r="G17">
        <f>IF(H17="Id",5,G16+5)</f>
        <v>5</v>
      </c>
      <c r="H17" t="str" cm="1">
        <f t="array" ref="H17">GetColumnName(C17,IF(B17=B16,H16,""))</f>
        <v>Id</v>
      </c>
      <c r="I17" t="str">
        <f>H17</f>
        <v>Id</v>
      </c>
      <c r="J17" t="str">
        <f>H17</f>
        <v>Id</v>
      </c>
      <c r="K17" t="b">
        <v>1</v>
      </c>
      <c r="L17" t="b">
        <v>1</v>
      </c>
      <c r="M17" t="b">
        <v>1</v>
      </c>
      <c r="N17" t="b">
        <v>1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</row>
    <row r="18">
      <c r="A18">
        <f>ROW(A18)-1</f>
        <v>17</v>
      </c>
      <c r="B18">
        <v>3</v>
      </c>
      <c r="C18" t="str" cm="1">
        <f t="array" ref="C18">GetValue("Tbl","Alias",B18)</f>
        <v>Rul</v>
      </c>
      <c r="D18">
        <v>5</v>
      </c>
      <c r="E18" t="str" cm="1">
        <f t="array" ref="E18">GetValue("Dmn","Name",D18)</f>
        <v>TinyInteger</v>
      </c>
      <c r="F18" t="str" cm="1">
        <f t="array" ref="F18">GetValue("Dmn","#CategoryName",D18)</f>
        <v>number</v>
      </c>
      <c r="G18">
        <f>IF(H18="Id",5,G17+5)</f>
        <v>10</v>
      </c>
      <c r="H18" t="str" cm="1">
        <f t="array" ref="H18">GetColumnName(C18,IF(B18=B17,H17,""))</f>
        <v>CategoryId</v>
      </c>
      <c r="I18" t="str">
        <f>H18</f>
        <v>CategoryId</v>
      </c>
      <c r="J18" t="str">
        <f>H18</f>
        <v>CategoryId</v>
      </c>
      <c r="K18" t="b">
        <v>1</v>
      </c>
      <c r="L18" t="b">
        <v>0</v>
      </c>
      <c r="M18" t="b">
        <v>0</v>
      </c>
      <c r="N18" t="b">
        <v>1</v>
      </c>
      <c r="O18" t="b">
        <v>1</v>
      </c>
      <c r="P18" t="b">
        <v>1</v>
      </c>
      <c r="Q18" t="b">
        <v>0</v>
      </c>
      <c r="R18" t="b">
        <v>0</v>
      </c>
      <c r="S18" t="b">
        <v>0</v>
      </c>
      <c r="T18" t="b">
        <v>0</v>
      </c>
    </row>
    <row r="19">
      <c r="A19">
        <f>ROW(A19)-1</f>
        <v>18</v>
      </c>
      <c r="B19">
        <v>3</v>
      </c>
      <c r="C19" t="str" cm="1">
        <f t="array" ref="C19">GetValue("Tbl","Alias",B19)</f>
        <v>Rul</v>
      </c>
      <c r="D19">
        <v>5</v>
      </c>
      <c r="E19" t="str" cm="1">
        <f t="array" ref="E19">GetValue("Dmn","Name",D19)</f>
        <v>TinyInteger</v>
      </c>
      <c r="F19" t="str" cm="1">
        <f t="array" ref="F19">GetValue("Dmn","#CategoryName",D19)</f>
        <v>number</v>
      </c>
      <c r="G19">
        <f>IF(H19="Id",5,G18+5)</f>
        <v>15</v>
      </c>
      <c r="H19" t="str" cm="1">
        <f t="array" ref="H19">GetColumnName(C19,IF(B19=B18,H18,""))</f>
        <v>ComparatorId</v>
      </c>
      <c r="I19" t="str">
        <f>H19</f>
        <v>ComparatorId</v>
      </c>
      <c r="J19" t="str">
        <f>H19</f>
        <v>ComparatorId</v>
      </c>
      <c r="K19" t="b">
        <v>1</v>
      </c>
      <c r="L19" t="b">
        <v>0</v>
      </c>
      <c r="M19" t="b">
        <v>0</v>
      </c>
      <c r="N19" t="b">
        <v>1</v>
      </c>
      <c r="O19" t="b">
        <v>1</v>
      </c>
      <c r="P19" t="b">
        <v>1</v>
      </c>
      <c r="Q19" t="b">
        <v>0</v>
      </c>
      <c r="R19" t="b">
        <v>0</v>
      </c>
      <c r="S19" t="b">
        <v>0</v>
      </c>
      <c r="T19" t="b">
        <v>0</v>
      </c>
    </row>
    <row r="20">
      <c r="A20">
        <f>ROW(A20)-1</f>
        <v>19</v>
      </c>
      <c r="B20">
        <v>4</v>
      </c>
      <c r="C20" t="str" cm="1">
        <f t="array" ref="C20">GetValue("Tbl","Alias",B20)</f>
        <v>Eng</v>
      </c>
      <c r="D20">
        <v>5</v>
      </c>
      <c r="E20" t="str" cm="1">
        <f t="array" ref="E20">GetValue("Dmn","Name",D20)</f>
        <v>TinyInteger</v>
      </c>
      <c r="F20" t="str" cm="1">
        <f t="array" ref="F20">GetValue("Dmn","#CategoryName",D20)</f>
        <v>number</v>
      </c>
      <c r="G20">
        <f>IF(H20="Id",5,G19+5)</f>
        <v>5</v>
      </c>
      <c r="H20" t="str" cm="1">
        <f t="array" ref="H20">GetColumnName(C20,IF(B20=B19,H19,""))</f>
        <v>Id</v>
      </c>
      <c r="I20" t="str">
        <f>H20</f>
        <v>Id</v>
      </c>
      <c r="J20" t="str">
        <f>H20</f>
        <v>Id</v>
      </c>
      <c r="K20" t="b">
        <v>1</v>
      </c>
      <c r="L20" t="b">
        <v>1</v>
      </c>
      <c r="M20" t="b">
        <v>1</v>
      </c>
      <c r="N20" t="b">
        <v>1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</row>
    <row r="21">
      <c r="A21">
        <f>ROW(A21)-1</f>
        <v>20</v>
      </c>
      <c r="B21">
        <v>4</v>
      </c>
      <c r="C21" t="str" cm="1">
        <f t="array" ref="C21">GetValue("Tbl","Alias",B21)</f>
        <v>Eng</v>
      </c>
      <c r="D21">
        <v>10</v>
      </c>
      <c r="E21" t="str" cm="1">
        <f t="array" ref="E21">GetValue("Dmn","Name",D21)</f>
        <v>NVARCHAR(25)</v>
      </c>
      <c r="F21" t="str" cm="1">
        <f t="array" ref="F21">GetValue("Dmn","#CategoryName",D21)</f>
        <v>string</v>
      </c>
      <c r="G21">
        <f>IF(H21="Id",5,G20+5)</f>
        <v>10</v>
      </c>
      <c r="H21" t="str" cm="1">
        <f t="array" ref="H21">GetColumnName(C21,IF(B21=B20,H20,""))</f>
        <v>Name</v>
      </c>
      <c r="I21" t="str">
        <f>H21</f>
        <v>Name</v>
      </c>
      <c r="J21" t="str">
        <f>H21</f>
        <v>Name</v>
      </c>
      <c r="K21" t="b">
        <v>1</v>
      </c>
      <c r="L21" t="b">
        <v>0</v>
      </c>
      <c r="M21" t="b">
        <v>0</v>
      </c>
      <c r="N21" t="b">
        <v>1</v>
      </c>
      <c r="O21" t="b">
        <v>1</v>
      </c>
      <c r="P21" t="b">
        <v>1</v>
      </c>
      <c r="Q21" t="b">
        <v>1</v>
      </c>
      <c r="R21" t="b">
        <v>0</v>
      </c>
      <c r="S21" t="b">
        <v>0</v>
      </c>
      <c r="T21" t="b">
        <v>0</v>
      </c>
    </row>
    <row r="22">
      <c r="A22">
        <f>ROW(A22)-1</f>
        <v>21</v>
      </c>
      <c r="B22">
        <v>4</v>
      </c>
      <c r="C22" t="str" cm="1">
        <f t="array" ref="C22">GetValue("Tbl","Alias",B22)</f>
        <v>Eng</v>
      </c>
      <c r="D22">
        <v>11</v>
      </c>
      <c r="E22" t="str" cm="1">
        <f t="array" ref="E22">GetValue("Dmn","Name",D22)</f>
        <v>NVARCHAR(50)</v>
      </c>
      <c r="F22" t="str" cm="1">
        <f t="array" ref="F22">GetValue("Dmn","#CategoryName",D22)</f>
        <v>string</v>
      </c>
      <c r="G22">
        <f>IF(H22="Id",5,G21+5)</f>
        <v>15</v>
      </c>
      <c r="H22" t="str" cm="1">
        <f t="array" ref="H22">GetColumnName(C22,IF(B22=B21,H21,""))</f>
        <v>Provider</v>
      </c>
      <c r="I22" t="str">
        <f>H22</f>
        <v>Provider</v>
      </c>
      <c r="J22" t="str">
        <f>H22</f>
        <v>Provider</v>
      </c>
      <c r="K22" t="b">
        <v>1</v>
      </c>
      <c r="L22" t="b">
        <v>0</v>
      </c>
      <c r="M22" t="b">
        <v>0</v>
      </c>
      <c r="N22" t="b">
        <v>1</v>
      </c>
      <c r="O22" t="b">
        <v>1</v>
      </c>
      <c r="P22" t="b">
        <v>1</v>
      </c>
      <c r="Q22" t="b">
        <v>0</v>
      </c>
      <c r="R22" t="b">
        <v>0</v>
      </c>
      <c r="S22" t="b">
        <v>0</v>
      </c>
      <c r="T22" t="b">
        <v>0</v>
      </c>
    </row>
    <row r="23">
      <c r="A23">
        <f>ROW(A23)-1</f>
        <v>22</v>
      </c>
      <c r="B23">
        <v>4</v>
      </c>
      <c r="C23" t="str" cm="1">
        <f t="array" ref="C23">GetValue("Tbl","Alias",B23)</f>
        <v>Eng</v>
      </c>
      <c r="D23">
        <v>11</v>
      </c>
      <c r="E23" t="str" cm="1">
        <f t="array" ref="E23">GetValue("Dmn","Name",D23)</f>
        <v>NVARCHAR(50)</v>
      </c>
      <c r="F23" t="str" cm="1">
        <f t="array" ref="F23">GetValue("Dmn","#CategoryName",D23)</f>
        <v>string</v>
      </c>
      <c r="G23">
        <f>IF(H23="Id",5,G22+5)</f>
        <v>20</v>
      </c>
      <c r="H23" t="str" cm="1">
        <f t="array" ref="H23">GetColumnName(C23,IF(B23=B22,H22,""))</f>
        <v>PackageName</v>
      </c>
      <c r="I23" t="str">
        <f>H23</f>
        <v>PackageName</v>
      </c>
      <c r="J23" t="str">
        <f>H23</f>
        <v>PackageName</v>
      </c>
      <c r="K23" t="b">
        <v>1</v>
      </c>
      <c r="L23" t="b">
        <v>0</v>
      </c>
      <c r="M23" t="b">
        <v>0</v>
      </c>
      <c r="N23" t="b">
        <v>1</v>
      </c>
      <c r="O23" t="b">
        <v>1</v>
      </c>
      <c r="P23" t="b">
        <v>1</v>
      </c>
      <c r="Q23" t="b">
        <v>0</v>
      </c>
      <c r="R23" t="b">
        <v>0</v>
      </c>
      <c r="S23" t="b">
        <v>0</v>
      </c>
      <c r="T23" t="b">
        <v>0</v>
      </c>
    </row>
    <row r="24">
      <c r="A24">
        <f>ROW(A24)-1</f>
        <v>23</v>
      </c>
      <c r="B24">
        <v>4</v>
      </c>
      <c r="C24" t="str" cm="1">
        <f t="array" ref="C24">GetValue("Tbl","Alias",B24)</f>
        <v>Eng</v>
      </c>
      <c r="D24">
        <v>8</v>
      </c>
      <c r="E24" t="str" cm="1">
        <f t="array" ref="E24">GetValue("Dmn","Name",D24)</f>
        <v>NVARCHAR(15)</v>
      </c>
      <c r="F24" t="str" cm="1">
        <f t="array" ref="F24">GetValue("Dmn","#CategoryName",D24)</f>
        <v>string</v>
      </c>
      <c r="G24">
        <f>IF(H24="Id",5,G23+5)</f>
        <v>25</v>
      </c>
      <c r="H24" t="str" cm="1">
        <f t="array" ref="H24">GetColumnName(C24,IF(B24=B23,H23,""))</f>
        <v>PackageVersion</v>
      </c>
      <c r="I24" t="str">
        <f>H24</f>
        <v>PackageVersion</v>
      </c>
      <c r="J24" t="str">
        <f>H24</f>
        <v>PackageVersion</v>
      </c>
      <c r="K24" t="b">
        <v>1</v>
      </c>
      <c r="L24" t="b">
        <v>0</v>
      </c>
      <c r="M24" t="b">
        <v>0</v>
      </c>
      <c r="N24" t="b">
        <v>1</v>
      </c>
      <c r="O24" t="b">
        <v>1</v>
      </c>
      <c r="P24" t="b">
        <v>1</v>
      </c>
      <c r="Q24" t="b">
        <v>0</v>
      </c>
      <c r="R24" t="b">
        <v>0</v>
      </c>
      <c r="S24" t="b">
        <v>0</v>
      </c>
      <c r="T24" t="b">
        <v>0</v>
      </c>
    </row>
    <row r="25">
      <c r="A25">
        <f>ROW(A25)-1</f>
        <v>24</v>
      </c>
      <c r="B25">
        <v>4</v>
      </c>
      <c r="C25" t="str" cm="1">
        <f t="array" ref="C25">GetValue("Tbl","Alias",B25)</f>
        <v>Eng</v>
      </c>
      <c r="D25">
        <v>6</v>
      </c>
      <c r="E25" t="str" cm="1">
        <f t="array" ref="E25">GetValue("Dmn","Name",D25)</f>
        <v>Boolean</v>
      </c>
      <c r="F25" t="str" cm="1">
        <f t="array" ref="F25">GetValue("Dmn","#CategoryName",D25)</f>
        <v>boolean</v>
      </c>
      <c r="G25">
        <f>IF(H25="Id",5,G24+5)</f>
        <v>30</v>
      </c>
      <c r="H25" t="str" cm="1">
        <f t="array" ref="H25">GetColumnName(C25,IF(B25=B24,H24,""))</f>
        <v>AskDirectory</v>
      </c>
      <c r="I25" t="str">
        <f>H25</f>
        <v>AskDirectory</v>
      </c>
      <c r="J25" t="str">
        <f>H25</f>
        <v>AskDirectory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t="b">
        <v>0</v>
      </c>
      <c r="S25" t="b">
        <v>0</v>
      </c>
      <c r="T25" t="b">
        <v>0</v>
      </c>
    </row>
    <row r="26">
      <c r="A26">
        <f>ROW(A26)-1</f>
        <v>25</v>
      </c>
      <c r="B26">
        <v>4</v>
      </c>
      <c r="C26" t="str" cm="1">
        <f t="array" ref="C26">GetValue("Tbl","Alias",B26)</f>
        <v>Eng</v>
      </c>
      <c r="D26">
        <v>6</v>
      </c>
      <c r="E26" t="str" cm="1">
        <f t="array" ref="E26">GetValue("Dmn","Name",D26)</f>
        <v>Boolean</v>
      </c>
      <c r="F26" t="str" cm="1">
        <f t="array" ref="F26">GetValue("Dmn","#CategoryName",D26)</f>
        <v>boolean</v>
      </c>
      <c r="G26">
        <f>IF(H26="Id",5,G25+5)</f>
        <v>35</v>
      </c>
      <c r="H26" t="str" cm="1">
        <f t="array" ref="H26">GetColumnName(C26,IF(B26=B25,H25,""))</f>
        <v>IsActive</v>
      </c>
      <c r="I26" t="str">
        <f>H26</f>
        <v>IsActive</v>
      </c>
      <c r="J26" t="str">
        <f>H26</f>
        <v>IsActive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1</v>
      </c>
      <c r="Q26" t="b">
        <v>0</v>
      </c>
      <c r="R26" t="b">
        <v>0</v>
      </c>
      <c r="S26" t="b">
        <v>0</v>
      </c>
      <c r="T26" t="b">
        <v>0</v>
      </c>
    </row>
    <row r="27">
      <c r="A27">
        <f>ROW(A27)-1</f>
        <v>26</v>
      </c>
      <c r="B27">
        <v>5</v>
      </c>
      <c r="C27" t="str" cm="1">
        <f t="array" ref="C27">GetValue("Tbl","Alias",B27)</f>
        <v>Typ</v>
      </c>
      <c r="D27">
        <v>10</v>
      </c>
      <c r="E27" t="str" cm="1">
        <f t="array" ref="E27">GetValue("Dmn","Name",D27)</f>
        <v>NVARCHAR(25)</v>
      </c>
      <c r="F27" t="str" cm="1">
        <f t="array" ref="F27">GetValue("Dmn","#CategoryName",D27)</f>
        <v>string</v>
      </c>
      <c r="G27">
        <f>IF(H27="Id",5,G26+5)</f>
        <v>5</v>
      </c>
      <c r="H27" t="str" cm="1">
        <f t="array" ref="H27">GetColumnName(C27,IF(B27=B26,H26,""))</f>
        <v>Id</v>
      </c>
      <c r="I27" t="str">
        <f>H27</f>
        <v>Id</v>
      </c>
      <c r="J27" t="str">
        <f>H27</f>
        <v>Id</v>
      </c>
      <c r="K27" t="b">
        <v>1</v>
      </c>
      <c r="L27" t="b">
        <v>1</v>
      </c>
      <c r="M27" t="b">
        <v>1</v>
      </c>
      <c r="N27" t="b">
        <v>1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</row>
    <row r="28">
      <c r="A28">
        <f>ROW(A28)-1</f>
        <v>27</v>
      </c>
      <c r="B28">
        <v>5</v>
      </c>
      <c r="C28" t="str" cm="1">
        <f t="array" ref="C28">GetValue("Tbl","Alias",B28)</f>
        <v>Typ</v>
      </c>
      <c r="D28">
        <v>5</v>
      </c>
      <c r="E28" t="str" cm="1">
        <f t="array" ref="E28">GetValue("Dmn","Name",D28)</f>
        <v>TinyInteger</v>
      </c>
      <c r="F28" t="str" cm="1">
        <f t="array" ref="F28">GetValue("Dmn","#CategoryName",D28)</f>
        <v>number</v>
      </c>
      <c r="G28">
        <f>IF(H28="Id",5,G27+5)</f>
        <v>10</v>
      </c>
      <c r="H28" t="str" cm="1">
        <f t="array" ref="H28">GetColumnName(C28,IF(B28=B27,H27,""))</f>
        <v>CategoryId</v>
      </c>
      <c r="I28" t="str">
        <f>H28</f>
        <v>CategoryId</v>
      </c>
      <c r="J28" t="str">
        <f>H28</f>
        <v>CategoryId</v>
      </c>
      <c r="K28" t="b">
        <v>1</v>
      </c>
      <c r="L28" t="b">
        <v>0</v>
      </c>
      <c r="M28" t="b">
        <v>0</v>
      </c>
      <c r="N28" t="b">
        <v>1</v>
      </c>
      <c r="O28" t="b">
        <v>1</v>
      </c>
      <c r="P28" t="b">
        <v>1</v>
      </c>
      <c r="Q28" t="b">
        <v>0</v>
      </c>
      <c r="R28" t="b">
        <v>0</v>
      </c>
      <c r="S28" t="b">
        <v>0</v>
      </c>
      <c r="T28" t="b">
        <v>0</v>
      </c>
    </row>
    <row r="29">
      <c r="A29">
        <f>ROW(A29)-1</f>
        <v>28</v>
      </c>
      <c r="B29">
        <v>5</v>
      </c>
      <c r="C29" t="str" cm="1">
        <f t="array" ref="C29">GetValue("Tbl","Alias",B29)</f>
        <v>Typ</v>
      </c>
      <c r="D29">
        <v>10</v>
      </c>
      <c r="E29" t="str" cm="1">
        <f t="array" ref="E29">GetValue("Dmn","Name",D29)</f>
        <v>NVARCHAR(25)</v>
      </c>
      <c r="F29" t="str" cm="1">
        <f t="array" ref="F29">GetValue("Dmn","#CategoryName",D29)</f>
        <v>string</v>
      </c>
      <c r="G29">
        <f>IF(H29="Id",5,G28+5)</f>
        <v>15</v>
      </c>
      <c r="H29" t="str" cm="1">
        <f t="array" ref="H29">GetColumnName(C29,IF(B29=B28,H28,""))</f>
        <v>Name</v>
      </c>
      <c r="I29" t="str">
        <f>H29</f>
        <v>Name</v>
      </c>
      <c r="J29" t="str">
        <f>H29</f>
        <v>Name</v>
      </c>
      <c r="K29" t="b">
        <v>1</v>
      </c>
      <c r="L29" t="b">
        <v>0</v>
      </c>
      <c r="M29" t="b">
        <v>0</v>
      </c>
      <c r="N29" t="b">
        <v>1</v>
      </c>
      <c r="O29" t="b">
        <v>1</v>
      </c>
      <c r="P29" t="b">
        <v>1</v>
      </c>
      <c r="Q29" t="b">
        <v>1</v>
      </c>
      <c r="R29" t="b">
        <v>0</v>
      </c>
      <c r="S29" t="b">
        <v>0</v>
      </c>
      <c r="T29" t="b">
        <v>0</v>
      </c>
    </row>
    <row r="30">
      <c r="A30">
        <f>ROW(A30)-1</f>
        <v>29</v>
      </c>
      <c r="B30">
        <v>5</v>
      </c>
      <c r="C30" t="str" cm="1">
        <f t="array" ref="C30">GetValue("Tbl","Alias",B30)</f>
        <v>Typ</v>
      </c>
      <c r="D30">
        <v>42</v>
      </c>
      <c r="E30" t="str" cm="1">
        <f t="array" ref="E30">GetValue("Dmn","Name",D30)</f>
        <v>VARIANT</v>
      </c>
      <c r="F30" t="str" cm="1">
        <f t="array" ref="F30">GetValue("Dmn","#CategoryName",D30)</f>
        <v>text</v>
      </c>
      <c r="G30">
        <f>IF(H30="Id",5,G29+5)</f>
        <v>20</v>
      </c>
      <c r="H30" t="str" cm="1">
        <f t="array" ref="H30">GetColumnName(C30,IF(B30=B29,H29,""))</f>
        <v>Minimum</v>
      </c>
      <c r="I30" t="str">
        <f>H30</f>
        <v>Minimum</v>
      </c>
      <c r="J30" t="str">
        <f>H30</f>
        <v>Minimum</v>
      </c>
      <c r="K30" t="b">
        <v>0</v>
      </c>
      <c r="L30" t="b">
        <v>0</v>
      </c>
      <c r="M30" t="b">
        <v>0</v>
      </c>
      <c r="N30" t="b">
        <v>0</v>
      </c>
      <c r="O30" t="b">
        <v>1</v>
      </c>
      <c r="P30" t="b">
        <v>1</v>
      </c>
      <c r="Q30" t="b">
        <v>0</v>
      </c>
      <c r="R30" t="b">
        <v>0</v>
      </c>
      <c r="S30" t="b">
        <v>0</v>
      </c>
      <c r="T30" t="b">
        <v>0</v>
      </c>
    </row>
    <row r="31">
      <c r="A31">
        <f>ROW(A31)-1</f>
        <v>30</v>
      </c>
      <c r="B31">
        <v>5</v>
      </c>
      <c r="C31" t="str" cm="1">
        <f t="array" ref="C31">GetValue("Tbl","Alias",B31)</f>
        <v>Typ</v>
      </c>
      <c r="D31">
        <v>42</v>
      </c>
      <c r="E31" t="str" cm="1">
        <f t="array" ref="E31">GetValue("Dmn","Name",D31)</f>
        <v>VARIANT</v>
      </c>
      <c r="F31" t="str" cm="1">
        <f t="array" ref="F31">GetValue("Dmn","#CategoryName",D31)</f>
        <v>text</v>
      </c>
      <c r="G31">
        <f>IF(H31="Id",5,G30+5)</f>
        <v>25</v>
      </c>
      <c r="H31" t="str" cm="1">
        <f t="array" ref="H31">GetColumnName(C31,IF(B31=B30,H30,""))</f>
        <v>Maximum</v>
      </c>
      <c r="I31" t="str">
        <f>H31</f>
        <v>Maximum</v>
      </c>
      <c r="J31" t="str">
        <f>H31</f>
        <v>Maximum</v>
      </c>
      <c r="K31" t="b">
        <v>0</v>
      </c>
      <c r="L31" t="b">
        <v>0</v>
      </c>
      <c r="M31" t="b">
        <v>0</v>
      </c>
      <c r="N31" t="b">
        <v>0</v>
      </c>
      <c r="O31" t="b">
        <v>1</v>
      </c>
      <c r="P31" t="b">
        <v>1</v>
      </c>
      <c r="Q31" t="b">
        <v>0</v>
      </c>
      <c r="R31" t="b">
        <v>0</v>
      </c>
      <c r="S31" t="b">
        <v>0</v>
      </c>
      <c r="T31" t="b">
        <v>0</v>
      </c>
    </row>
    <row r="32">
      <c r="A32">
        <f>ROW(A32)-1</f>
        <v>31</v>
      </c>
      <c r="B32">
        <v>5</v>
      </c>
      <c r="C32" t="str" cm="1">
        <f t="array" ref="C32">GetValue("Tbl","Alias",B32)</f>
        <v>Typ</v>
      </c>
      <c r="D32">
        <v>6</v>
      </c>
      <c r="E32" t="str" cm="1">
        <f t="array" ref="E32">GetValue("Dmn","Name",D32)</f>
        <v>Boolean</v>
      </c>
      <c r="F32" t="str" cm="1">
        <f t="array" ref="F32">GetValue("Dmn","#CategoryName",D32)</f>
        <v>boolean</v>
      </c>
      <c r="G32">
        <f>IF(H32="Id",5,G31+5)</f>
        <v>30</v>
      </c>
      <c r="H32" t="str" cm="1">
        <f t="array" ref="H32">GetColumnName(C32,IF(B32=B31,H31,""))</f>
        <v>AskLength</v>
      </c>
      <c r="I32" t="str">
        <f>H32</f>
        <v>AskLength</v>
      </c>
      <c r="J32" t="str">
        <f>H32</f>
        <v>AskLength</v>
      </c>
      <c r="K32" t="b">
        <v>1</v>
      </c>
      <c r="L32" t="b">
        <v>0</v>
      </c>
      <c r="M32" t="b">
        <v>0</v>
      </c>
      <c r="N32" t="b">
        <v>1</v>
      </c>
      <c r="O32" t="b">
        <v>1</v>
      </c>
      <c r="P32" t="b">
        <v>1</v>
      </c>
      <c r="Q32" t="b">
        <v>0</v>
      </c>
      <c r="R32" t="b">
        <v>0</v>
      </c>
      <c r="S32" t="b">
        <v>0</v>
      </c>
      <c r="T32" t="b">
        <v>0</v>
      </c>
    </row>
    <row r="33">
      <c r="A33">
        <f>ROW(A33)-1</f>
        <v>32</v>
      </c>
      <c r="B33">
        <v>5</v>
      </c>
      <c r="C33" t="str" cm="1">
        <f t="array" ref="C33">GetValue("Tbl","Alias",B33)</f>
        <v>Typ</v>
      </c>
      <c r="D33">
        <v>6</v>
      </c>
      <c r="E33" t="str" cm="1">
        <f t="array" ref="E33">GetValue("Dmn","Name",D33)</f>
        <v>Boolean</v>
      </c>
      <c r="F33" t="str" cm="1">
        <f t="array" ref="F33">GetValue("Dmn","#CategoryName",D33)</f>
        <v>boolean</v>
      </c>
      <c r="G33">
        <f>IF(H33="Id",5,G32+5)</f>
        <v>35</v>
      </c>
      <c r="H33" t="str" cm="1">
        <f t="array" ref="H33">GetColumnName(C33,IF(B33=B32,H32,""))</f>
        <v>AskDecimals</v>
      </c>
      <c r="I33" t="str">
        <f>H33</f>
        <v>AskDecimals</v>
      </c>
      <c r="J33" t="str">
        <f>H33</f>
        <v>AskDecimals</v>
      </c>
      <c r="K33" t="b">
        <v>1</v>
      </c>
      <c r="L33" t="b">
        <v>0</v>
      </c>
      <c r="M33" t="b">
        <v>0</v>
      </c>
      <c r="N33" t="b">
        <v>1</v>
      </c>
      <c r="O33" t="b">
        <v>1</v>
      </c>
      <c r="P33" t="b">
        <v>1</v>
      </c>
      <c r="Q33" t="b">
        <v>0</v>
      </c>
      <c r="R33" t="b">
        <v>0</v>
      </c>
      <c r="S33" t="b">
        <v>0</v>
      </c>
      <c r="T33" t="b">
        <v>0</v>
      </c>
    </row>
    <row r="34">
      <c r="A34">
        <f>ROW(A34)-1</f>
        <v>33</v>
      </c>
      <c r="B34">
        <v>5</v>
      </c>
      <c r="C34" t="str" cm="1">
        <f t="array" ref="C34">GetValue("Tbl","Alias",B34)</f>
        <v>Typ</v>
      </c>
      <c r="D34">
        <v>6</v>
      </c>
      <c r="E34" t="str" cm="1">
        <f t="array" ref="E34">GetValue("Dmn","Name",D34)</f>
        <v>Boolean</v>
      </c>
      <c r="F34" t="str" cm="1">
        <f t="array" ref="F34">GetValue("Dmn","#CategoryName",D34)</f>
        <v>boolean</v>
      </c>
      <c r="G34">
        <f>IF(H34="Id",5,G33+5)</f>
        <v>40</v>
      </c>
      <c r="H34" t="str" cm="1">
        <f t="array" ref="H34">GetColumnName(C34,IF(B34=B33,H33,""))</f>
        <v>AskPrimarykey</v>
      </c>
      <c r="I34" t="str">
        <f>H34</f>
        <v>AskPrimarykey</v>
      </c>
      <c r="J34" t="str">
        <f>H34</f>
        <v>AskPrimarykey</v>
      </c>
      <c r="K34" t="b">
        <v>1</v>
      </c>
      <c r="L34" t="b">
        <v>0</v>
      </c>
      <c r="M34" t="b">
        <v>0</v>
      </c>
      <c r="N34" t="b">
        <v>1</v>
      </c>
      <c r="O34" t="b">
        <v>1</v>
      </c>
      <c r="P34" t="b">
        <v>1</v>
      </c>
      <c r="Q34" t="b">
        <v>0</v>
      </c>
      <c r="R34" t="b">
        <v>0</v>
      </c>
      <c r="S34" t="b">
        <v>0</v>
      </c>
      <c r="T34" t="b">
        <v>0</v>
      </c>
    </row>
    <row r="35">
      <c r="A35">
        <f>ROW(A35)-1</f>
        <v>34</v>
      </c>
      <c r="B35">
        <v>5</v>
      </c>
      <c r="C35" t="str" cm="1">
        <f t="array" ref="C35">GetValue("Tbl","Alias",B35)</f>
        <v>Typ</v>
      </c>
      <c r="D35">
        <v>6</v>
      </c>
      <c r="E35" t="str" cm="1">
        <f t="array" ref="E35">GetValue("Dmn","Name",D35)</f>
        <v>Boolean</v>
      </c>
      <c r="F35" t="str" cm="1">
        <f t="array" ref="F35">GetValue("Dmn","#CategoryName",D35)</f>
        <v>boolean</v>
      </c>
      <c r="G35">
        <f>IF(H35="Id",5,G34+5)</f>
        <v>45</v>
      </c>
      <c r="H35" t="str" cm="1">
        <f t="array" ref="H35">GetColumnName(C35,IF(B35=B34,H34,""))</f>
        <v>AskAutoincrement</v>
      </c>
      <c r="I35" t="str">
        <f>H35</f>
        <v>AskAutoincrement</v>
      </c>
      <c r="J35" t="str">
        <f>H35</f>
        <v>AskAutoincrement</v>
      </c>
      <c r="K35" t="b">
        <v>1</v>
      </c>
      <c r="L35" t="b">
        <v>0</v>
      </c>
      <c r="M35" t="b">
        <v>0</v>
      </c>
      <c r="N35" t="b">
        <v>1</v>
      </c>
      <c r="O35" t="b">
        <v>1</v>
      </c>
      <c r="P35" t="b">
        <v>1</v>
      </c>
      <c r="Q35" t="b">
        <v>0</v>
      </c>
      <c r="R35" t="b">
        <v>0</v>
      </c>
      <c r="S35" t="b">
        <v>0</v>
      </c>
      <c r="T35" t="b">
        <v>0</v>
      </c>
    </row>
    <row r="36">
      <c r="A36">
        <f>ROW(A36)-1</f>
        <v>35</v>
      </c>
      <c r="B36">
        <v>5</v>
      </c>
      <c r="C36" t="str" cm="1">
        <f t="array" ref="C36">GetValue("Tbl","Alias",B36)</f>
        <v>Typ</v>
      </c>
      <c r="D36">
        <v>6</v>
      </c>
      <c r="E36" t="str" cm="1">
        <f t="array" ref="E36">GetValue("Dmn","Name",D36)</f>
        <v>Boolean</v>
      </c>
      <c r="F36" t="str" cm="1">
        <f t="array" ref="F36">GetValue("Dmn","#CategoryName",D36)</f>
        <v>boolean</v>
      </c>
      <c r="G36">
        <f>IF(H36="Id",5,G35+5)</f>
        <v>50</v>
      </c>
      <c r="H36" t="str" cm="1">
        <f t="array" ref="H36">GetColumnName(C36,IF(B36=B35,H35,""))</f>
        <v>AskFilterable</v>
      </c>
      <c r="I36" t="str">
        <f>H36</f>
        <v>AskFilterable</v>
      </c>
      <c r="J36" t="str">
        <f>H36</f>
        <v>AskFilterable</v>
      </c>
      <c r="K36" t="b">
        <v>1</v>
      </c>
      <c r="L36" t="b">
        <v>0</v>
      </c>
      <c r="M36" t="b">
        <v>0</v>
      </c>
      <c r="N36" t="b">
        <v>1</v>
      </c>
      <c r="O36" t="b">
        <v>1</v>
      </c>
      <c r="P36" t="b">
        <v>1</v>
      </c>
      <c r="Q36" t="b">
        <v>0</v>
      </c>
      <c r="R36" t="b">
        <v>0</v>
      </c>
      <c r="S36" t="b">
        <v>0</v>
      </c>
      <c r="T36" t="b">
        <v>0</v>
      </c>
    </row>
    <row r="37">
      <c r="A37">
        <f>ROW(A37)-1</f>
        <v>36</v>
      </c>
      <c r="B37">
        <v>5</v>
      </c>
      <c r="C37" t="str" cm="1">
        <f t="array" ref="C37">GetValue("Tbl","Alias",B37)</f>
        <v>Typ</v>
      </c>
      <c r="D37">
        <v>6</v>
      </c>
      <c r="E37" t="str" cm="1">
        <f t="array" ref="E37">GetValue("Dmn","Name",D37)</f>
        <v>Boolean</v>
      </c>
      <c r="F37" t="str" cm="1">
        <f t="array" ref="F37">GetValue("Dmn","#CategoryName",D37)</f>
        <v>boolean</v>
      </c>
      <c r="G37">
        <f>IF(H37="Id",5,G36+5)</f>
        <v>55</v>
      </c>
      <c r="H37" t="str" cm="1">
        <f t="array" ref="H37">GetColumnName(C37,IF(B37=B36,H36,""))</f>
        <v>AskGridable</v>
      </c>
      <c r="I37" t="str">
        <f>H37</f>
        <v>AskGridable</v>
      </c>
      <c r="J37" t="str">
        <f>H37</f>
        <v>AskGridable</v>
      </c>
      <c r="K37" t="b">
        <v>1</v>
      </c>
      <c r="L37" t="b">
        <v>0</v>
      </c>
      <c r="M37" t="b">
        <v>0</v>
      </c>
      <c r="N37" t="b">
        <v>1</v>
      </c>
      <c r="O37" t="b">
        <v>1</v>
      </c>
      <c r="P37" t="b">
        <v>1</v>
      </c>
      <c r="Q37" t="b">
        <v>0</v>
      </c>
      <c r="R37" t="b">
        <v>0</v>
      </c>
      <c r="S37" t="b">
        <v>0</v>
      </c>
      <c r="T37" t="b">
        <v>0</v>
      </c>
    </row>
    <row r="38">
      <c r="A38">
        <f>ROW(A38)-1</f>
        <v>37</v>
      </c>
      <c r="B38">
        <v>5</v>
      </c>
      <c r="C38" t="str" cm="1">
        <f t="array" ref="C38">GetValue("Tbl","Alias",B38)</f>
        <v>Typ</v>
      </c>
      <c r="D38">
        <v>6</v>
      </c>
      <c r="E38" t="str" cm="1">
        <f t="array" ref="E38">GetValue("Dmn","Name",D38)</f>
        <v>Boolean</v>
      </c>
      <c r="F38" t="str" cm="1">
        <f t="array" ref="F38">GetValue("Dmn","#CategoryName",D38)</f>
        <v>boolean</v>
      </c>
      <c r="G38">
        <f>IF(H38="Id",5,G37+5)</f>
        <v>60</v>
      </c>
      <c r="H38" t="str" cm="1">
        <f t="array" ref="H38">GetColumnName(C38,IF(B38=B37,H37,""))</f>
        <v>IsActive</v>
      </c>
      <c r="I38" t="str">
        <f>H38</f>
        <v>IsActive</v>
      </c>
      <c r="J38" t="str">
        <f>H38</f>
        <v>IsActive</v>
      </c>
      <c r="K38" t="b">
        <v>1</v>
      </c>
      <c r="L38" t="b">
        <v>0</v>
      </c>
      <c r="M38" t="b">
        <v>0</v>
      </c>
      <c r="N38" t="b">
        <v>1</v>
      </c>
      <c r="O38" t="b">
        <v>1</v>
      </c>
      <c r="P38" t="b">
        <v>1</v>
      </c>
      <c r="Q38" t="b">
        <v>0</v>
      </c>
      <c r="R38" t="b">
        <v>0</v>
      </c>
      <c r="S38" t="b">
        <v>0</v>
      </c>
      <c r="T38" t="b">
        <v>0</v>
      </c>
    </row>
    <row r="39">
      <c r="A39">
        <f>ROW(A39)-1</f>
        <v>38</v>
      </c>
      <c r="B39">
        <v>6</v>
      </c>
      <c r="C39" t="str" cm="1">
        <f t="array" ref="C39">GetValue("Tbl","Alias",B39)</f>
        <v>Map</v>
      </c>
      <c r="D39">
        <v>2</v>
      </c>
      <c r="E39" t="str" cm="1">
        <f t="array" ref="E39">GetValue("Dmn","Name",D39)</f>
        <v>Integer</v>
      </c>
      <c r="F39" t="str" cm="1">
        <f t="array" ref="F39">GetValue("Dmn","#CategoryName",D39)</f>
        <v>number</v>
      </c>
      <c r="G39">
        <f>IF(H39="Id",5,G38+5)</f>
        <v>5</v>
      </c>
      <c r="H39" t="str" cm="1">
        <f t="array" ref="H39">GetColumnName(C39,IF(B39=B38,H38,""))</f>
        <v>Id</v>
      </c>
      <c r="I39" t="str">
        <f>H39</f>
        <v>Id</v>
      </c>
      <c r="J39" t="str">
        <f>H39</f>
        <v>Id</v>
      </c>
      <c r="K39" t="b">
        <v>1</v>
      </c>
      <c r="L39" t="b">
        <v>1</v>
      </c>
      <c r="M39" t="b">
        <v>1</v>
      </c>
      <c r="N39" t="b">
        <v>1</v>
      </c>
      <c r="O39" t="b">
        <v>0</v>
      </c>
      <c r="P39" t="b">
        <v>0</v>
      </c>
      <c r="Q39" t="b">
        <v>0</v>
      </c>
      <c r="R39" t="b">
        <v>0</v>
      </c>
      <c r="S39" t="b">
        <v>0</v>
      </c>
      <c r="T39" t="b">
        <v>0</v>
      </c>
    </row>
    <row r="40">
      <c r="A40">
        <f>ROW(A40)-1</f>
        <v>39</v>
      </c>
      <c r="B40">
        <v>6</v>
      </c>
      <c r="C40" t="str" cm="1">
        <f t="array" ref="C40">GetValue("Tbl","Alias",B40)</f>
        <v>Map</v>
      </c>
      <c r="D40">
        <v>5</v>
      </c>
      <c r="E40" t="str" cm="1">
        <f t="array" ref="E40">GetValue("Dmn","Name",D40)</f>
        <v>TinyInteger</v>
      </c>
      <c r="F40" t="str" cm="1">
        <f t="array" ref="F40">GetValue("Dmn","#CategoryName",D40)</f>
        <v>number</v>
      </c>
      <c r="G40">
        <f>IF(H40="Id",5,G39+5)</f>
        <v>10</v>
      </c>
      <c r="H40" t="str" cm="1">
        <f t="array" ref="H40">GetColumnName(C40,IF(B40=B39,H39,""))</f>
        <v>EngineId</v>
      </c>
      <c r="I40" t="str">
        <f>H40</f>
        <v>EngineId</v>
      </c>
      <c r="J40" t="str">
        <f>H40</f>
        <v>EngineId</v>
      </c>
      <c r="K40" t="b">
        <v>1</v>
      </c>
      <c r="L40" t="b">
        <v>0</v>
      </c>
      <c r="M40" t="b">
        <v>0</v>
      </c>
      <c r="N40" t="b">
        <v>1</v>
      </c>
      <c r="O40" t="b">
        <v>1</v>
      </c>
      <c r="P40" t="b">
        <v>1</v>
      </c>
      <c r="Q40" t="b">
        <v>0</v>
      </c>
      <c r="R40" t="b">
        <v>0</v>
      </c>
      <c r="S40" t="b">
        <v>0</v>
      </c>
      <c r="T40" t="b">
        <v>0</v>
      </c>
    </row>
    <row r="41">
      <c r="A41">
        <f>ROW(A41)-1</f>
        <v>40</v>
      </c>
      <c r="B41">
        <v>6</v>
      </c>
      <c r="C41" t="str" cm="1">
        <f t="array" ref="C41">GetValue("Tbl","Alias",B41)</f>
        <v>Map</v>
      </c>
      <c r="D41">
        <v>5</v>
      </c>
      <c r="E41" t="str" cm="1">
        <f t="array" ref="E41">GetValue("Dmn","Name",D41)</f>
        <v>TinyInteger</v>
      </c>
      <c r="F41" t="str" cm="1">
        <f t="array" ref="F41">GetValue("Dmn","#CategoryName",D41)</f>
        <v>number</v>
      </c>
      <c r="G41">
        <f>IF(H41="Id",5,G40+5)</f>
        <v>15</v>
      </c>
      <c r="H41" t="str" cm="1">
        <f t="array" ref="H41">GetColumnName(C41,IF(B41=B40,H40,""))</f>
        <v>TypeId</v>
      </c>
      <c r="I41" t="str">
        <f>H41</f>
        <v>TypeId</v>
      </c>
      <c r="J41" t="str">
        <f>H41</f>
        <v>TypeId</v>
      </c>
      <c r="K41" t="b">
        <v>1</v>
      </c>
      <c r="L41" t="b">
        <v>0</v>
      </c>
      <c r="M41" t="b">
        <v>0</v>
      </c>
      <c r="N41" t="b">
        <v>1</v>
      </c>
      <c r="O41" t="b">
        <v>1</v>
      </c>
      <c r="P41" t="b">
        <v>1</v>
      </c>
      <c r="Q41" t="b">
        <v>0</v>
      </c>
      <c r="R41" t="b">
        <v>0</v>
      </c>
      <c r="S41" t="b">
        <v>0</v>
      </c>
      <c r="T41" t="b">
        <v>0</v>
      </c>
    </row>
    <row r="42">
      <c r="A42">
        <f>ROW(A42)-1</f>
        <v>41</v>
      </c>
      <c r="B42">
        <v>6</v>
      </c>
      <c r="C42" t="str" cm="1">
        <f t="array" ref="C42">GetValue("Tbl","Alias",B42)</f>
        <v>Map</v>
      </c>
      <c r="D42">
        <v>10</v>
      </c>
      <c r="E42" t="str" cm="1">
        <f t="array" ref="E42">GetValue("Dmn","Name",D42)</f>
        <v>NVARCHAR(25)</v>
      </c>
      <c r="F42" t="str" cm="1">
        <f t="array" ref="F42">GetValue("Dmn","#CategoryName",D42)</f>
        <v>string</v>
      </c>
      <c r="G42">
        <f>IF(H42="Id",5,G41+5)</f>
        <v>20</v>
      </c>
      <c r="H42" t="str" cm="1">
        <f t="array" ref="H42">GetColumnName(C42,IF(B42=B41,H41,""))</f>
        <v>Name</v>
      </c>
      <c r="I42" t="str">
        <f>H42</f>
        <v>Name</v>
      </c>
      <c r="J42" t="str">
        <f>H42</f>
        <v>Name</v>
      </c>
      <c r="K42" t="b">
        <v>1</v>
      </c>
      <c r="L42" t="b">
        <v>0</v>
      </c>
      <c r="M42" t="b">
        <v>0</v>
      </c>
      <c r="N42" t="b">
        <v>1</v>
      </c>
      <c r="O42" t="b">
        <v>1</v>
      </c>
      <c r="P42" t="b">
        <v>1</v>
      </c>
      <c r="Q42" t="b">
        <v>1</v>
      </c>
      <c r="R42" t="b">
        <v>0</v>
      </c>
      <c r="S42" t="b">
        <v>0</v>
      </c>
      <c r="T42" t="b">
        <v>0</v>
      </c>
    </row>
    <row r="43">
      <c r="A43">
        <f>ROW(A43)-1</f>
        <v>42</v>
      </c>
      <c r="B43">
        <v>6</v>
      </c>
      <c r="C43" t="str" cm="1">
        <f t="array" ref="C43">GetValue("Tbl","Alias",B43)</f>
        <v>Map</v>
      </c>
      <c r="D43">
        <v>2</v>
      </c>
      <c r="E43" t="str" cm="1">
        <f t="array" ref="E43">GetValue("Dmn","Name",D43)</f>
        <v>Integer</v>
      </c>
      <c r="F43" t="str" cm="1">
        <f t="array" ref="F43">GetValue("Dmn","#CategoryName",D43)</f>
        <v>number</v>
      </c>
      <c r="G43">
        <f>IF(H43="Id",5,G42+5)</f>
        <v>25</v>
      </c>
      <c r="H43" t="str" cm="1">
        <f t="array" ref="H43">GetColumnName(C43,IF(B43=B42,H42,""))</f>
        <v>Length</v>
      </c>
      <c r="I43" t="str">
        <f>H43</f>
        <v>Length</v>
      </c>
      <c r="J43" t="str">
        <f>H43</f>
        <v>Length</v>
      </c>
      <c r="K43" t="b">
        <v>0</v>
      </c>
      <c r="L43" t="b">
        <v>0</v>
      </c>
      <c r="M43" t="b">
        <v>0</v>
      </c>
      <c r="N43" t="b">
        <v>0</v>
      </c>
      <c r="O43" t="b">
        <v>1</v>
      </c>
      <c r="P43" t="b">
        <v>1</v>
      </c>
      <c r="Q43" t="b">
        <v>0</v>
      </c>
      <c r="R43" t="b">
        <v>0</v>
      </c>
      <c r="S43" t="b">
        <v>0</v>
      </c>
      <c r="T43" t="b">
        <v>0</v>
      </c>
    </row>
    <row r="44">
      <c r="A44">
        <f>ROW(A44)-1</f>
        <v>43</v>
      </c>
      <c r="B44">
        <v>6</v>
      </c>
      <c r="C44" t="str" cm="1">
        <f t="array" ref="C44">GetValue("Tbl","Alias",B44)</f>
        <v>Map</v>
      </c>
      <c r="D44">
        <v>5</v>
      </c>
      <c r="E44" t="str" cm="1">
        <f t="array" ref="E44">GetValue("Dmn","Name",D44)</f>
        <v>TinyInteger</v>
      </c>
      <c r="F44" t="str" cm="1">
        <f t="array" ref="F44">GetValue("Dmn","#CategoryName",D44)</f>
        <v>number</v>
      </c>
      <c r="G44">
        <f>IF(H44="Id",5,G43+5)</f>
        <v>30</v>
      </c>
      <c r="H44" t="str" cm="1">
        <f t="array" ref="H44">GetColumnName(C44,IF(B44=B43,H43,""))</f>
        <v>Decimals</v>
      </c>
      <c r="I44" t="str">
        <f>H44</f>
        <v>Decimals</v>
      </c>
      <c r="J44" t="str">
        <f>H44</f>
        <v>Decimals</v>
      </c>
      <c r="K44" t="b">
        <v>0</v>
      </c>
      <c r="L44" t="b">
        <v>0</v>
      </c>
      <c r="M44" t="b">
        <v>0</v>
      </c>
      <c r="N44" t="b">
        <v>0</v>
      </c>
      <c r="O44" t="b">
        <v>1</v>
      </c>
      <c r="P44" t="b">
        <v>1</v>
      </c>
      <c r="Q44" t="b">
        <v>0</v>
      </c>
      <c r="R44" t="b">
        <v>0</v>
      </c>
      <c r="S44" t="b">
        <v>0</v>
      </c>
      <c r="T44" t="b">
        <v>0</v>
      </c>
    </row>
    <row r="45">
      <c r="A45">
        <f>ROW(A45)-1</f>
        <v>44</v>
      </c>
      <c r="B45">
        <v>7</v>
      </c>
      <c r="C45" t="str" cm="1">
        <f t="array" ref="C45">GetValue("Tbl","Alias",B45)</f>
        <v>Own</v>
      </c>
      <c r="D45">
        <v>3</v>
      </c>
      <c r="E45" t="str" cm="1">
        <f t="array" ref="E45">GetValue("Dmn","Name",D45)</f>
        <v>ShortInteger</v>
      </c>
      <c r="F45" t="str" cm="1">
        <f t="array" ref="F45">GetValue("Dmn","#CategoryName",D45)</f>
        <v>number</v>
      </c>
      <c r="G45">
        <f>IF(H45="Id",5,G44+5)</f>
        <v>5</v>
      </c>
      <c r="H45" t="str" cm="1">
        <f t="array" ref="H45">GetColumnName(C45,IF(B45=B44,H44,""))</f>
        <v>Id</v>
      </c>
      <c r="I45" t="str">
        <f>H45</f>
        <v>Id</v>
      </c>
      <c r="J45" t="str">
        <f>H45</f>
        <v>Id</v>
      </c>
      <c r="K45" t="b">
        <v>1</v>
      </c>
      <c r="L45" t="b">
        <v>1</v>
      </c>
      <c r="M45" t="b">
        <v>1</v>
      </c>
      <c r="N45" t="b">
        <v>1</v>
      </c>
      <c r="O45" t="b">
        <v>0</v>
      </c>
      <c r="P45" t="b">
        <v>0</v>
      </c>
      <c r="Q45" t="b">
        <v>0</v>
      </c>
      <c r="R45" t="b">
        <v>0</v>
      </c>
      <c r="S45" t="b">
        <v>0</v>
      </c>
      <c r="T45" t="b">
        <v>0</v>
      </c>
    </row>
    <row r="46">
      <c r="A46">
        <f>ROW(A46)-1</f>
        <v>45</v>
      </c>
      <c r="B46">
        <v>7</v>
      </c>
      <c r="C46" t="str" cm="1">
        <f t="array" ref="C46">GetValue("Tbl","Alias",B46)</f>
        <v>Own</v>
      </c>
      <c r="D46">
        <v>10</v>
      </c>
      <c r="E46" t="str" cm="1">
        <f t="array" ref="E46">GetValue("Dmn","Name",D46)</f>
        <v>NVARCHAR(25)</v>
      </c>
      <c r="F46" t="str" cm="1">
        <f t="array" ref="F46">GetValue("Dmn","#CategoryName",D46)</f>
        <v>string</v>
      </c>
      <c r="G46">
        <f>IF(H46="Id",5,G45+5)</f>
        <v>10</v>
      </c>
      <c r="H46" t="str" cm="1">
        <f t="array" ref="H46">GetColumnName(C46,IF(B46=B45,H45,""))</f>
        <v>Name</v>
      </c>
      <c r="I46" t="str">
        <f>H46</f>
        <v>Name</v>
      </c>
      <c r="J46" t="str">
        <f>H46</f>
        <v>Name</v>
      </c>
      <c r="K46" t="b">
        <v>1</v>
      </c>
      <c r="L46" t="b">
        <v>0</v>
      </c>
      <c r="M46" t="b">
        <v>0</v>
      </c>
      <c r="N46" t="b">
        <v>1</v>
      </c>
      <c r="O46" t="b">
        <v>1</v>
      </c>
      <c r="P46" t="b">
        <v>1</v>
      </c>
      <c r="Q46" t="b">
        <v>1</v>
      </c>
      <c r="R46" t="b">
        <v>0</v>
      </c>
      <c r="S46" t="b">
        <v>0</v>
      </c>
      <c r="T46" t="b">
        <v>0</v>
      </c>
    </row>
    <row r="47">
      <c r="A47">
        <f>ROW(A47)-1</f>
        <v>46</v>
      </c>
      <c r="B47">
        <v>7</v>
      </c>
      <c r="C47" t="str" cm="1">
        <f t="array" ref="C47">GetValue("Tbl","Alias",B47)</f>
        <v>Own</v>
      </c>
      <c r="D47">
        <v>20</v>
      </c>
      <c r="E47" t="str" cm="1">
        <f t="array" ref="E47">GetValue("Dmn","Name",D47)</f>
        <v>VARCHAR(max)</v>
      </c>
      <c r="F47" t="str" cm="1">
        <f t="array" ref="F47">GetValue("Dmn","#CategoryName",D47)</f>
        <v>text</v>
      </c>
      <c r="G47">
        <f>IF(H47="Id",5,G46+5)</f>
        <v>15</v>
      </c>
      <c r="H47" t="str" cm="1">
        <f t="array" ref="H47">GetColumnName(C47,IF(B47=B46,H46,""))</f>
        <v>Logo</v>
      </c>
      <c r="I47" t="str">
        <f>H47</f>
        <v>Logo</v>
      </c>
      <c r="J47" t="str">
        <f>H47</f>
        <v>Logo</v>
      </c>
      <c r="K47" t="b">
        <v>0</v>
      </c>
      <c r="L47" t="b">
        <v>0</v>
      </c>
      <c r="M47" t="b">
        <v>0</v>
      </c>
      <c r="N47" t="b">
        <v>0</v>
      </c>
      <c r="O47" t="b">
        <v>1</v>
      </c>
      <c r="P47" t="b">
        <v>0</v>
      </c>
      <c r="Q47" t="b">
        <v>0</v>
      </c>
      <c r="R47" t="b">
        <v>0</v>
      </c>
      <c r="S47" t="b">
        <v>0</v>
      </c>
      <c r="T47" t="b">
        <v>0</v>
      </c>
    </row>
    <row r="48">
      <c r="A48">
        <f>ROW(A48)-1</f>
        <v>47</v>
      </c>
      <c r="B48">
        <v>7</v>
      </c>
      <c r="C48" t="str" cm="1">
        <f t="array" ref="C48">GetValue("Tbl","Alias",B48)</f>
        <v>Own</v>
      </c>
      <c r="D48">
        <v>5</v>
      </c>
      <c r="E48" t="str" cm="1">
        <f t="array" ref="E48">GetValue("Dmn","Name",D48)</f>
        <v>TinyInteger</v>
      </c>
      <c r="F48" t="str" cm="1">
        <f t="array" ref="F48">GetValue("Dmn","#CategoryName",D48)</f>
        <v>number</v>
      </c>
      <c r="G48">
        <f>IF(H48="Id",5,G47+5)</f>
        <v>20</v>
      </c>
      <c r="H48" t="str" cm="1">
        <f t="array" ref="H48">GetColumnName(C48,IF(B48=B47,H47,""))</f>
        <v>EngineId</v>
      </c>
      <c r="I48" t="str">
        <f>H48</f>
        <v>EngineId</v>
      </c>
      <c r="J48" t="str">
        <f>H48</f>
        <v>EngineId</v>
      </c>
      <c r="K48" t="b">
        <v>1</v>
      </c>
      <c r="L48" t="b">
        <v>0</v>
      </c>
      <c r="M48" t="b">
        <v>0</v>
      </c>
      <c r="N48" t="b">
        <v>1</v>
      </c>
      <c r="O48" t="b">
        <v>1</v>
      </c>
      <c r="P48" t="b">
        <v>1</v>
      </c>
      <c r="Q48" t="b">
        <v>0</v>
      </c>
      <c r="R48" t="b">
        <v>0</v>
      </c>
      <c r="S48" t="b">
        <v>0</v>
      </c>
      <c r="T48" t="b">
        <v>0</v>
      </c>
    </row>
    <row r="49">
      <c r="A49">
        <f>ROW(A49)-1</f>
        <v>48</v>
      </c>
      <c r="B49">
        <v>7</v>
      </c>
      <c r="C49" t="str" cm="1">
        <f t="array" ref="C49">GetValue("Tbl","Alias",B49)</f>
        <v>Own</v>
      </c>
      <c r="D49">
        <v>6</v>
      </c>
      <c r="E49" t="str" cm="1">
        <f t="array" ref="E49">GetValue("Dmn","Name",D49)</f>
        <v>Boolean</v>
      </c>
      <c r="F49" t="str" cm="1">
        <f t="array" ref="F49">GetValue("Dmn","#CategoryName",D49)</f>
        <v>boolean</v>
      </c>
      <c r="G49">
        <f>IF(H49="Id",5,G48+5)</f>
        <v>25</v>
      </c>
      <c r="H49" t="str" cm="1">
        <f t="array" ref="H49">GetColumnName(C49,IF(B49=B48,H48,""))</f>
        <v xml:space="preserve">AskDatabasePath </v>
      </c>
      <c r="I49" t="str">
        <f>H49</f>
        <v xml:space="preserve">AskDatabasePath </v>
      </c>
      <c r="J49" t="str">
        <f>H49</f>
        <v xml:space="preserve">AskDatabasePath </v>
      </c>
      <c r="K49" t="b">
        <v>1</v>
      </c>
      <c r="L49" t="b">
        <v>0</v>
      </c>
      <c r="M49" t="b">
        <v>0</v>
      </c>
      <c r="N49" t="b">
        <v>1</v>
      </c>
      <c r="O49" t="b">
        <v>1</v>
      </c>
      <c r="P49" t="b">
        <v>1</v>
      </c>
      <c r="Q49" t="b">
        <v>0</v>
      </c>
      <c r="R49" t="b">
        <v>0</v>
      </c>
      <c r="S49" t="b">
        <v>0</v>
      </c>
      <c r="T49" t="b">
        <v>0</v>
      </c>
    </row>
    <row r="50">
      <c r="A50">
        <f>ROW(A50)-1</f>
        <v>49</v>
      </c>
      <c r="B50">
        <v>7</v>
      </c>
      <c r="C50" t="str" cm="1">
        <f t="array" ref="C50">GetValue("Tbl","Alias",B50)</f>
        <v>Own</v>
      </c>
      <c r="D50">
        <v>6</v>
      </c>
      <c r="E50" t="str" cm="1">
        <f t="array" ref="E50">GetValue("Dmn","Name",D50)</f>
        <v>Boolean</v>
      </c>
      <c r="F50" t="str" cm="1">
        <f t="array" ref="F50">GetValue("Dmn","#CategoryName",D50)</f>
        <v>boolean</v>
      </c>
      <c r="G50">
        <f>IF(H50="Id",5,G49+5)</f>
        <v>30</v>
      </c>
      <c r="H50" t="str" cm="1">
        <f t="array" ref="H50">GetColumnName(C50,IF(B50=B49,H49,""))</f>
        <v>IsActive</v>
      </c>
      <c r="I50" t="str">
        <f>H50</f>
        <v>IsActive</v>
      </c>
      <c r="J50" t="str">
        <f>H50</f>
        <v>IsActive</v>
      </c>
      <c r="K50" t="b">
        <v>1</v>
      </c>
      <c r="L50" t="b">
        <v>0</v>
      </c>
      <c r="M50" t="b">
        <v>0</v>
      </c>
      <c r="N50" t="b">
        <v>1</v>
      </c>
      <c r="O50" t="b">
        <v>1</v>
      </c>
      <c r="P50" t="b">
        <v>1</v>
      </c>
      <c r="Q50" t="b">
        <v>0</v>
      </c>
      <c r="R50" t="b">
        <v>0</v>
      </c>
      <c r="S50" t="b">
        <v>0</v>
      </c>
      <c r="T50" t="b">
        <v>0</v>
      </c>
    </row>
    <row r="51">
      <c r="A51">
        <f>ROW(A51)-1</f>
        <v>50</v>
      </c>
      <c r="B51">
        <v>8</v>
      </c>
      <c r="C51" t="str" cm="1">
        <f t="array" ref="C51">GetValue("Tbl","Alias",B51)</f>
        <v>Dmn</v>
      </c>
      <c r="D51">
        <v>1</v>
      </c>
      <c r="E51" t="str" cm="1">
        <f t="array" ref="E51">GetValue("Dmn","Name",D51)</f>
        <v>BigInteger</v>
      </c>
      <c r="F51" t="str" cm="1">
        <f t="array" ref="F51">GetValue("Dmn","#CategoryName",D51)</f>
        <v>number</v>
      </c>
      <c r="G51">
        <f>IF(H51="Id",5,G50+5)</f>
        <v>5</v>
      </c>
      <c r="H51" t="str" cm="1">
        <f t="array" ref="H51">GetColumnName(C51,IF(B51=B50,H50,""))</f>
        <v>Id</v>
      </c>
      <c r="I51" t="str">
        <f>H51</f>
        <v>Id</v>
      </c>
      <c r="J51" t="str">
        <f>H51</f>
        <v>Id</v>
      </c>
      <c r="K51" t="b">
        <v>1</v>
      </c>
      <c r="L51" t="b">
        <v>1</v>
      </c>
      <c r="M51" t="b">
        <v>1</v>
      </c>
      <c r="N51" t="b">
        <v>1</v>
      </c>
      <c r="O51" t="b">
        <v>0</v>
      </c>
      <c r="P51" t="b">
        <v>0</v>
      </c>
      <c r="Q51" t="b">
        <v>0</v>
      </c>
      <c r="R51" t="b">
        <v>0</v>
      </c>
      <c r="S51" t="b">
        <v>0</v>
      </c>
      <c r="T51" t="b">
        <v>0</v>
      </c>
    </row>
    <row r="52">
      <c r="A52">
        <f>ROW(A52)-1</f>
        <v>51</v>
      </c>
      <c r="B52">
        <v>8</v>
      </c>
      <c r="C52" t="str" cm="1">
        <f t="array" ref="C52">GetValue("Tbl","Alias",B52)</f>
        <v>Dmn</v>
      </c>
      <c r="D52">
        <v>1</v>
      </c>
      <c r="E52" t="str" cm="1">
        <f t="array" ref="E52">GetValue("Dmn","Name",D52)</f>
        <v>BigInteger</v>
      </c>
      <c r="F52" t="str" cm="1">
        <f t="array" ref="F52">GetValue("Dmn","#CategoryName",D52)</f>
        <v>number</v>
      </c>
      <c r="G52">
        <f>IF(H52="Id",5,G51+5)</f>
        <v>10</v>
      </c>
      <c r="H52" t="str" cm="1">
        <f t="array" ref="H52">GetColumnName(C52,IF(B52=B51,H51,""))</f>
        <v>OwnertId</v>
      </c>
      <c r="I52" t="str">
        <f>H52</f>
        <v>OwnertId</v>
      </c>
      <c r="J52" t="str">
        <f>H52</f>
        <v>OwnertId</v>
      </c>
      <c r="K52" t="b">
        <v>1</v>
      </c>
      <c r="L52" t="b">
        <v>0</v>
      </c>
      <c r="M52" t="b">
        <v>0</v>
      </c>
      <c r="N52" t="b">
        <v>1</v>
      </c>
      <c r="O52" t="b">
        <v>1</v>
      </c>
      <c r="P52" t="b">
        <v>1</v>
      </c>
      <c r="Q52" t="b">
        <v>0</v>
      </c>
      <c r="R52" t="b">
        <v>0</v>
      </c>
      <c r="S52" t="b">
        <v>0</v>
      </c>
      <c r="T52" t="b">
        <v>0</v>
      </c>
    </row>
    <row r="53">
      <c r="A53">
        <f>ROW(A53)-1</f>
        <v>52</v>
      </c>
      <c r="B53">
        <v>8</v>
      </c>
      <c r="C53" t="str" cm="1">
        <f t="array" ref="C53">GetValue("Tbl","Alias",B53)</f>
        <v>Dmn</v>
      </c>
      <c r="D53">
        <v>5</v>
      </c>
      <c r="E53" t="str" cm="1">
        <f t="array" ref="E53">GetValue("Dmn","Name",D53)</f>
        <v>TinyInteger</v>
      </c>
      <c r="F53" t="str" cm="1">
        <f t="array" ref="F53">GetValue("Dmn","#CategoryName",D53)</f>
        <v>number</v>
      </c>
      <c r="G53">
        <f>IF(H53="Id",5,G52+5)</f>
        <v>15</v>
      </c>
      <c r="H53" t="str" cm="1">
        <f t="array" ref="H53">GetColumnName(C53,IF(B53=B52,H52,""))</f>
        <v>TypeId</v>
      </c>
      <c r="I53" t="str">
        <f>H53</f>
        <v>TypeId</v>
      </c>
      <c r="J53" t="str">
        <f>H53</f>
        <v>TypeId</v>
      </c>
      <c r="K53" t="b">
        <v>1</v>
      </c>
      <c r="L53" t="b">
        <v>0</v>
      </c>
      <c r="M53" t="b">
        <v>0</v>
      </c>
      <c r="N53" t="b">
        <v>1</v>
      </c>
      <c r="O53" t="b">
        <v>1</v>
      </c>
      <c r="P53" t="b">
        <v>1</v>
      </c>
      <c r="Q53" t="b">
        <v>0</v>
      </c>
      <c r="R53" t="b">
        <v>0</v>
      </c>
      <c r="S53" t="b">
        <v>0</v>
      </c>
      <c r="T53" t="b">
        <v>0</v>
      </c>
    </row>
    <row r="54">
      <c r="A54">
        <f>ROW(A54)-1</f>
        <v>53</v>
      </c>
      <c r="B54">
        <v>8</v>
      </c>
      <c r="C54" t="str" cm="1">
        <f t="array" ref="C54">GetValue("Tbl","Alias",B54)</f>
        <v>Dmn</v>
      </c>
      <c r="D54">
        <v>10</v>
      </c>
      <c r="E54" t="str" cm="1">
        <f t="array" ref="E54">GetValue("Dmn","Name",D54)</f>
        <v>NVARCHAR(25)</v>
      </c>
      <c r="F54" t="str" cm="1">
        <f t="array" ref="F54">GetValue("Dmn","#CategoryName",D54)</f>
        <v>string</v>
      </c>
      <c r="G54">
        <f>IF(H54="Id",5,G53+5)</f>
        <v>20</v>
      </c>
      <c r="H54" t="str" cm="1">
        <f t="array" ref="H54">GetColumnName(C54,IF(B54=B53,H53,""))</f>
        <v>Name</v>
      </c>
      <c r="I54" t="str">
        <f>H54</f>
        <v>Name</v>
      </c>
      <c r="J54" t="str">
        <f>H54</f>
        <v>Name</v>
      </c>
      <c r="K54" t="b">
        <v>1</v>
      </c>
      <c r="L54" t="b">
        <v>0</v>
      </c>
      <c r="M54" t="b">
        <v>0</v>
      </c>
      <c r="N54" t="b">
        <v>1</v>
      </c>
      <c r="O54" t="b">
        <v>1</v>
      </c>
      <c r="P54" t="b">
        <v>1</v>
      </c>
      <c r="Q54" t="b">
        <v>1</v>
      </c>
      <c r="R54" t="b">
        <v>0</v>
      </c>
      <c r="S54" t="b">
        <v>0</v>
      </c>
      <c r="T54" t="b">
        <v>0</v>
      </c>
    </row>
    <row r="55">
      <c r="A55">
        <f>ROW(A55)-1</f>
        <v>54</v>
      </c>
      <c r="B55">
        <v>8</v>
      </c>
      <c r="C55" t="str" cm="1">
        <f t="array" ref="C55">GetValue("Tbl","Alias",B55)</f>
        <v>Dmn</v>
      </c>
      <c r="D55">
        <v>2</v>
      </c>
      <c r="E55" t="str" cm="1">
        <f t="array" ref="E55">GetValue("Dmn","Name",D55)</f>
        <v>Integer</v>
      </c>
      <c r="F55" t="str" cm="1">
        <f t="array" ref="F55">GetValue("Dmn","#CategoryName",D55)</f>
        <v>number</v>
      </c>
      <c r="G55">
        <f>IF(H55="Id",5,G54+5)</f>
        <v>25</v>
      </c>
      <c r="H55" t="str" cm="1">
        <f t="array" ref="H55">GetColumnName(C55,IF(B55=B54,H54,""))</f>
        <v>Length</v>
      </c>
      <c r="I55" t="str">
        <f>H55</f>
        <v>Length</v>
      </c>
      <c r="J55" t="str">
        <f>H55</f>
        <v>Length</v>
      </c>
      <c r="K55" t="b">
        <v>0</v>
      </c>
      <c r="L55" t="b">
        <v>0</v>
      </c>
      <c r="M55" t="b">
        <v>0</v>
      </c>
      <c r="N55" t="b">
        <v>0</v>
      </c>
      <c r="O55" t="b">
        <v>1</v>
      </c>
      <c r="P55" t="b">
        <v>1</v>
      </c>
      <c r="Q55" t="b">
        <v>0</v>
      </c>
      <c r="R55" t="b">
        <v>0</v>
      </c>
      <c r="S55" t="b">
        <v>0</v>
      </c>
      <c r="T55" t="b">
        <v>0</v>
      </c>
    </row>
    <row r="56">
      <c r="A56">
        <f>ROW(A56)-1</f>
        <v>55</v>
      </c>
      <c r="B56">
        <v>8</v>
      </c>
      <c r="C56" t="str" cm="1">
        <f t="array" ref="C56">GetValue("Tbl","Alias",B56)</f>
        <v>Dmn</v>
      </c>
      <c r="D56">
        <v>5</v>
      </c>
      <c r="E56" t="str" cm="1">
        <f t="array" ref="E56">GetValue("Dmn","Name",D56)</f>
        <v>TinyInteger</v>
      </c>
      <c r="F56" t="str" cm="1">
        <f t="array" ref="F56">GetValue("Dmn","#CategoryName",D56)</f>
        <v>number</v>
      </c>
      <c r="G56">
        <f>IF(H56="Id",5,G55+5)</f>
        <v>30</v>
      </c>
      <c r="H56" t="str" cm="1">
        <f t="array" ref="H56">GetColumnName(C56,IF(B56=B55,H55,""))</f>
        <v>Decimals</v>
      </c>
      <c r="I56" t="str">
        <f>H56</f>
        <v>Decimals</v>
      </c>
      <c r="J56" t="str">
        <f>H56</f>
        <v>Decimals</v>
      </c>
      <c r="K56" t="b">
        <v>0</v>
      </c>
      <c r="L56" t="b">
        <v>0</v>
      </c>
      <c r="M56" t="b">
        <v>0</v>
      </c>
      <c r="N56" t="b">
        <v>0</v>
      </c>
      <c r="O56" t="b">
        <v>1</v>
      </c>
      <c r="P56" t="b">
        <v>1</v>
      </c>
      <c r="Q56" t="b">
        <v>0</v>
      </c>
      <c r="R56" t="b">
        <v>0</v>
      </c>
      <c r="S56" t="b">
        <v>0</v>
      </c>
      <c r="T56" t="b">
        <v>0</v>
      </c>
    </row>
    <row r="57">
      <c r="A57">
        <f>ROW(A57)-1</f>
        <v>56</v>
      </c>
      <c r="B57">
        <v>8</v>
      </c>
      <c r="C57" t="str" cm="1">
        <f t="array" ref="C57">GetValue("Tbl","Alias",B57)</f>
        <v>Dmn</v>
      </c>
      <c r="D57">
        <v>13</v>
      </c>
      <c r="E57" t="str" cm="1">
        <f t="array" ref="E57">GetValue("Dmn","Name",D57)</f>
        <v>NVARCHAR(max)</v>
      </c>
      <c r="F57" t="str" cm="1">
        <f t="array" ref="F57">GetValue("Dmn","#CategoryName",D57)</f>
        <v>text</v>
      </c>
      <c r="G57">
        <f>IF(H57="Id",5,G56+5)</f>
        <v>35</v>
      </c>
      <c r="H57" t="str" cm="1">
        <f t="array" ref="H57">GetColumnName(C57,IF(B57=B56,H56,""))</f>
        <v>Default</v>
      </c>
      <c r="I57" t="str">
        <f>H57</f>
        <v>Default</v>
      </c>
      <c r="J57" t="str">
        <f>H57</f>
        <v>Default</v>
      </c>
      <c r="K57" t="b">
        <v>0</v>
      </c>
      <c r="L57" t="b">
        <v>0</v>
      </c>
      <c r="M57" t="b">
        <v>0</v>
      </c>
      <c r="N57" t="b">
        <v>0</v>
      </c>
      <c r="O57" t="b">
        <v>1</v>
      </c>
      <c r="P57" t="b">
        <v>0</v>
      </c>
      <c r="Q57" t="b">
        <v>0</v>
      </c>
      <c r="R57" t="b">
        <v>0</v>
      </c>
      <c r="S57" t="b">
        <v>0</v>
      </c>
      <c r="T57" t="b">
        <v>0</v>
      </c>
    </row>
    <row r="58">
      <c r="A58">
        <f>ROW(A58)-1</f>
        <v>57</v>
      </c>
      <c r="B58">
        <v>8</v>
      </c>
      <c r="C58" t="str" cm="1">
        <f t="array" ref="C58">GetValue("Tbl","Alias",B58)</f>
        <v>Dmn</v>
      </c>
      <c r="D58">
        <v>13</v>
      </c>
      <c r="E58" t="str" cm="1">
        <f t="array" ref="E58">GetValue("Dmn","Name",D58)</f>
        <v>NVARCHAR(max)</v>
      </c>
      <c r="F58" t="str" cm="1">
        <f t="array" ref="F58">GetValue("Dmn","#CategoryName",D58)</f>
        <v>text</v>
      </c>
      <c r="G58">
        <f>IF(H58="Id",5,G57+5)</f>
        <v>40</v>
      </c>
      <c r="H58" t="str" cm="1">
        <f t="array" ref="H58">GetColumnName(C58,IF(B58=B57,H57,""))</f>
        <v>Minimum</v>
      </c>
      <c r="I58" t="str">
        <f>H58</f>
        <v>Minimum</v>
      </c>
      <c r="J58" t="str">
        <f>H58</f>
        <v>Minimum</v>
      </c>
      <c r="K58" t="b">
        <v>0</v>
      </c>
      <c r="L58" t="b">
        <v>0</v>
      </c>
      <c r="M58" t="b">
        <v>0</v>
      </c>
      <c r="N58" t="b">
        <v>0</v>
      </c>
      <c r="O58" t="b">
        <v>1</v>
      </c>
      <c r="P58" t="b">
        <v>0</v>
      </c>
      <c r="Q58" t="b">
        <v>0</v>
      </c>
      <c r="R58" t="b">
        <v>0</v>
      </c>
      <c r="S58" t="b">
        <v>0</v>
      </c>
      <c r="T58" t="b">
        <v>0</v>
      </c>
    </row>
    <row r="59">
      <c r="A59">
        <f>ROW(A59)-1</f>
        <v>58</v>
      </c>
      <c r="B59">
        <v>8</v>
      </c>
      <c r="C59" t="str" cm="1">
        <f t="array" ref="C59">GetValue("Tbl","Alias",B59)</f>
        <v>Dmn</v>
      </c>
      <c r="D59">
        <v>13</v>
      </c>
      <c r="E59" t="str" cm="1">
        <f t="array" ref="E59">GetValue("Dmn","Name",D59)</f>
        <v>NVARCHAR(max)</v>
      </c>
      <c r="F59" t="str" cm="1">
        <f t="array" ref="F59">GetValue("Dmn","#CategoryName",D59)</f>
        <v>text</v>
      </c>
      <c r="G59">
        <f>IF(H59="Id",5,G58+5)</f>
        <v>45</v>
      </c>
      <c r="H59" t="str" cm="1">
        <f t="array" ref="H59">GetColumnName(C59,IF(B59=B58,H58,""))</f>
        <v>Maximum</v>
      </c>
      <c r="I59" t="str">
        <f>H59</f>
        <v>Maximum</v>
      </c>
      <c r="J59" t="str">
        <f>H59</f>
        <v>Maximum</v>
      </c>
      <c r="K59" t="b">
        <v>0</v>
      </c>
      <c r="L59" t="b">
        <v>0</v>
      </c>
      <c r="M59" t="b">
        <v>0</v>
      </c>
      <c r="N59" t="b">
        <v>0</v>
      </c>
      <c r="O59" t="b">
        <v>1</v>
      </c>
      <c r="P59" t="b">
        <v>0</v>
      </c>
      <c r="Q59" t="b">
        <v>0</v>
      </c>
      <c r="R59" t="b">
        <v>0</v>
      </c>
      <c r="S59" t="b">
        <v>0</v>
      </c>
      <c r="T59" t="b">
        <v>0</v>
      </c>
    </row>
    <row r="60">
      <c r="A60">
        <f>ROW(A60)-1</f>
        <v>59</v>
      </c>
      <c r="B60">
        <v>8</v>
      </c>
      <c r="C60" t="str" cm="1">
        <f t="array" ref="C60">GetValue("Tbl","Alias",B60)</f>
        <v>Dmn</v>
      </c>
      <c r="D60">
        <v>13</v>
      </c>
      <c r="E60" t="str" cm="1">
        <f t="array" ref="E60">GetValue("Dmn","Name",D60)</f>
        <v>NVARCHAR(max)</v>
      </c>
      <c r="F60" t="str" cm="1">
        <f t="array" ref="F60">GetValue("Dmn","#CategoryName",D60)</f>
        <v>text</v>
      </c>
      <c r="G60">
        <f>IF(H60="Id",5,G59+5)</f>
        <v>50</v>
      </c>
      <c r="H60" t="str" cm="1">
        <f t="array" ref="H60">GetColumnName(C60,IF(B60=B59,H59,""))</f>
        <v>ValidChars</v>
      </c>
      <c r="I60" t="str">
        <f>H60</f>
        <v>ValidChars</v>
      </c>
      <c r="J60" t="str">
        <f>H60</f>
        <v>ValidChars</v>
      </c>
      <c r="K60" t="b">
        <v>0</v>
      </c>
      <c r="L60" t="b">
        <v>0</v>
      </c>
      <c r="M60" t="b">
        <v>0</v>
      </c>
      <c r="N60" t="b">
        <v>0</v>
      </c>
      <c r="O60" t="b">
        <v>1</v>
      </c>
      <c r="P60" t="b">
        <v>0</v>
      </c>
      <c r="Q60" t="b">
        <v>0</v>
      </c>
      <c r="R60" t="b">
        <v>0</v>
      </c>
      <c r="S60" t="b">
        <v>0</v>
      </c>
      <c r="T60" t="b">
        <v>0</v>
      </c>
    </row>
    <row r="61">
      <c r="A61">
        <f>ROW(A61)-1</f>
        <v>60</v>
      </c>
      <c r="B61">
        <v>8</v>
      </c>
      <c r="C61" t="str" cm="1">
        <f t="array" ref="C61">GetValue("Tbl","Alias",B61)</f>
        <v>Dmn</v>
      </c>
      <c r="D61">
        <v>13</v>
      </c>
      <c r="E61" t="str" cm="1">
        <f t="array" ref="E61">GetValue("Dmn","Name",D61)</f>
        <v>NVARCHAR(max)</v>
      </c>
      <c r="F61" t="str" cm="1">
        <f t="array" ref="F61">GetValue("Dmn","#CategoryName",D61)</f>
        <v>text</v>
      </c>
      <c r="G61">
        <f>IF(H61="Id",5,G60+5)</f>
        <v>55</v>
      </c>
      <c r="H61" t="str" cm="1">
        <f t="array" ref="H61">GetColumnName(C61,IF(B61=B60,H60,""))</f>
        <v>ValidValues</v>
      </c>
      <c r="I61" t="str">
        <f>H61</f>
        <v>ValidValues</v>
      </c>
      <c r="J61" t="str">
        <f>H61</f>
        <v>ValidValues</v>
      </c>
      <c r="K61" t="b">
        <v>0</v>
      </c>
      <c r="L61" t="b">
        <v>0</v>
      </c>
      <c r="M61" t="b">
        <v>0</v>
      </c>
      <c r="N61" t="b">
        <v>0</v>
      </c>
      <c r="O61" t="b">
        <v>1</v>
      </c>
      <c r="P61" t="b">
        <v>0</v>
      </c>
      <c r="Q61" t="b">
        <v>0</v>
      </c>
      <c r="R61" t="b">
        <v>0</v>
      </c>
      <c r="S61" t="b">
        <v>0</v>
      </c>
      <c r="T61" t="b">
        <v>0</v>
      </c>
    </row>
    <row r="62">
      <c r="A62">
        <f>ROW(A62)-1</f>
        <v>61</v>
      </c>
      <c r="B62">
        <v>8</v>
      </c>
      <c r="C62" t="str" cm="1">
        <f t="array" ref="C62">GetValue("Tbl","Alias",B62)</f>
        <v>Dmn</v>
      </c>
      <c r="D62">
        <v>13</v>
      </c>
      <c r="E62" t="str" cm="1">
        <f t="array" ref="E62">GetValue("Dmn","Name",D62)</f>
        <v>NVARCHAR(max)</v>
      </c>
      <c r="F62" t="str" cm="1">
        <f t="array" ref="F62">GetValue("Dmn","#CategoryName",D62)</f>
        <v>text</v>
      </c>
      <c r="G62">
        <f>IF(H62="Id",5,G61+5)</f>
        <v>60</v>
      </c>
      <c r="H62" t="str" cm="1">
        <f t="array" ref="H62">GetColumnName(C62,IF(B62=B61,H61,""))</f>
        <v>ListValues</v>
      </c>
      <c r="I62" t="str">
        <f>H62</f>
        <v>ListValues</v>
      </c>
      <c r="J62" t="str">
        <f>H62</f>
        <v>ListValues</v>
      </c>
      <c r="K62" t="b">
        <v>0</v>
      </c>
      <c r="L62" t="b">
        <v>0</v>
      </c>
      <c r="M62" t="b">
        <v>0</v>
      </c>
      <c r="N62" t="b">
        <v>0</v>
      </c>
      <c r="O62" t="b">
        <v>1</v>
      </c>
      <c r="P62" t="b">
        <v>0</v>
      </c>
      <c r="Q62" t="b">
        <v>0</v>
      </c>
      <c r="R62" t="b">
        <v>0</v>
      </c>
      <c r="S62" t="b">
        <v>0</v>
      </c>
      <c r="T62" t="b">
        <v>0</v>
      </c>
    </row>
    <row r="63">
      <c r="A63">
        <f>ROW(A63)-1</f>
        <v>62</v>
      </c>
      <c r="B63">
        <v>9</v>
      </c>
      <c r="C63" t="str" cm="1">
        <f t="array" ref="C63">GetValue("Tbl","Alias",B63)</f>
        <v>Msk</v>
      </c>
      <c r="D63">
        <v>1</v>
      </c>
      <c r="E63" t="str" cm="1">
        <f t="array" ref="E63">GetValue("Dmn","Name",D63)</f>
        <v>BigInteger</v>
      </c>
      <c r="F63" t="str" cm="1">
        <f t="array" ref="F63">GetValue("Dmn","#CategoryName",D63)</f>
        <v>number</v>
      </c>
      <c r="G63">
        <f>IF(H63="Id",5,G62+5)</f>
        <v>5</v>
      </c>
      <c r="H63" t="str" cm="1">
        <f t="array" ref="H63">GetColumnName(C63,IF(B63=B62,H62,""))</f>
        <v>Id</v>
      </c>
      <c r="I63" t="str">
        <f>H63</f>
        <v>Id</v>
      </c>
      <c r="J63" t="str">
        <f>H63</f>
        <v>Id</v>
      </c>
      <c r="K63" t="b">
        <v>1</v>
      </c>
      <c r="L63" t="b">
        <v>1</v>
      </c>
      <c r="M63" t="b">
        <v>1</v>
      </c>
      <c r="N63" t="b">
        <v>1</v>
      </c>
      <c r="O63" t="b">
        <v>0</v>
      </c>
      <c r="P63" t="b">
        <v>0</v>
      </c>
      <c r="Q63" t="b">
        <v>0</v>
      </c>
      <c r="R63" t="b">
        <v>0</v>
      </c>
      <c r="S63" t="b">
        <v>0</v>
      </c>
      <c r="T63" t="b">
        <v>0</v>
      </c>
    </row>
    <row r="64">
      <c r="A64">
        <f>ROW(A64)-1</f>
        <v>63</v>
      </c>
      <c r="B64">
        <v>9</v>
      </c>
      <c r="C64" t="str" cm="1">
        <f t="array" ref="C64">GetValue("Tbl","Alias",B64)</f>
        <v>Msk</v>
      </c>
      <c r="D64">
        <v>1</v>
      </c>
      <c r="E64" t="str" cm="1">
        <f t="array" ref="E64">GetValue("Dmn","Name",D64)</f>
        <v>BigInteger</v>
      </c>
      <c r="F64" t="str" cm="1">
        <f t="array" ref="F64">GetValue("Dmn","#CategoryName",D64)</f>
        <v>number</v>
      </c>
      <c r="G64">
        <f>IF(H64="Id",5,G63+5)</f>
        <v>10</v>
      </c>
      <c r="H64" t="str" cm="1">
        <f t="array" ref="H64">GetColumnName(C64,IF(B64=B63,H63,""))</f>
        <v>OwnertId</v>
      </c>
      <c r="I64" t="str">
        <f>H64</f>
        <v>OwnertId</v>
      </c>
      <c r="J64" t="str">
        <f>H64</f>
        <v>OwnertId</v>
      </c>
      <c r="K64" t="b">
        <v>1</v>
      </c>
      <c r="L64" t="b">
        <v>0</v>
      </c>
      <c r="M64" t="b">
        <v>0</v>
      </c>
      <c r="N64" t="b">
        <v>1</v>
      </c>
      <c r="O64" t="b">
        <v>1</v>
      </c>
      <c r="P64" t="b">
        <v>1</v>
      </c>
      <c r="Q64" t="b">
        <v>0</v>
      </c>
      <c r="R64" t="b">
        <v>0</v>
      </c>
      <c r="S64" t="b">
        <v>0</v>
      </c>
      <c r="T64" t="b">
        <v>0</v>
      </c>
    </row>
    <row r="65">
      <c r="A65">
        <f>ROW(A65)-1</f>
        <v>64</v>
      </c>
      <c r="B65">
        <v>9</v>
      </c>
      <c r="C65" t="str" cm="1">
        <f t="array" ref="C65">GetValue("Tbl","Alias",B65)</f>
        <v>Msk</v>
      </c>
      <c r="D65">
        <v>10</v>
      </c>
      <c r="E65" t="str" cm="1">
        <f t="array" ref="E65">GetValue("Dmn","Name",D65)</f>
        <v>NVARCHAR(25)</v>
      </c>
      <c r="F65" t="str" cm="1">
        <f t="array" ref="F65">GetValue("Dmn","#CategoryName",D65)</f>
        <v>string</v>
      </c>
      <c r="G65">
        <f>IF(H65="Id",5,G64+5)</f>
        <v>15</v>
      </c>
      <c r="H65" t="str" cm="1">
        <f t="array" ref="H65">GetColumnName(C65,IF(B65=B64,H64,""))</f>
        <v>Name</v>
      </c>
      <c r="I65" t="str">
        <f>H65</f>
        <v>Name</v>
      </c>
      <c r="J65" t="str">
        <f>H65</f>
        <v>Name</v>
      </c>
      <c r="K65" t="b">
        <v>1</v>
      </c>
      <c r="L65" t="b">
        <v>0</v>
      </c>
      <c r="M65" t="b">
        <v>0</v>
      </c>
      <c r="N65" t="b">
        <v>1</v>
      </c>
      <c r="O65" t="b">
        <v>1</v>
      </c>
      <c r="P65" t="b">
        <v>1</v>
      </c>
      <c r="Q65" t="b">
        <v>1</v>
      </c>
      <c r="R65" t="b">
        <v>0</v>
      </c>
      <c r="S65" t="b">
        <v>0</v>
      </c>
      <c r="T65" t="b">
        <v>0</v>
      </c>
    </row>
    <row r="66">
      <c r="A66">
        <f>ROW(A66)-1</f>
        <v>65</v>
      </c>
      <c r="B66">
        <v>9</v>
      </c>
      <c r="C66" t="str" cm="1">
        <f t="array" ref="C66">GetValue("Tbl","Alias",B66)</f>
        <v>Msk</v>
      </c>
      <c r="D66">
        <v>13</v>
      </c>
      <c r="E66" t="str" cm="1">
        <f t="array" ref="E66">GetValue("Dmn","Name",D66)</f>
        <v>NVARCHAR(max)</v>
      </c>
      <c r="F66" t="str" cm="1">
        <f t="array" ref="F66">GetValue("Dmn","#CategoryName",D66)</f>
        <v>text</v>
      </c>
      <c r="G66">
        <f>IF(H66="Id",5,G65+5)</f>
        <v>20</v>
      </c>
      <c r="H66" t="str" cm="1">
        <f t="array" ref="H66">GetColumnName(C66,IF(B66=B65,H65,""))</f>
        <v>Mask</v>
      </c>
      <c r="I66" t="str">
        <f>H66</f>
        <v>Mask</v>
      </c>
      <c r="J66" t="str">
        <f>H66</f>
        <v>Mask</v>
      </c>
      <c r="K66" t="b">
        <v>0</v>
      </c>
      <c r="L66" t="b">
        <v>0</v>
      </c>
      <c r="M66" t="b">
        <v>0</v>
      </c>
      <c r="N66" t="b">
        <v>0</v>
      </c>
      <c r="O66" t="b">
        <v>1</v>
      </c>
      <c r="P66" t="b">
        <v>1</v>
      </c>
      <c r="Q66" t="b">
        <v>0</v>
      </c>
      <c r="R66" t="b">
        <v>0</v>
      </c>
      <c r="S66" t="b">
        <v>0</v>
      </c>
      <c r="T66" t="b">
        <v>0</v>
      </c>
    </row>
    <row r="67">
      <c r="A67">
        <f>ROW(A67)-1</f>
        <v>66</v>
      </c>
      <c r="B67">
        <v>9</v>
      </c>
      <c r="C67" t="str" cm="1">
        <f t="array" ref="C67">GetValue("Tbl","Alias",B67)</f>
        <v>Msk</v>
      </c>
      <c r="D67">
        <v>13</v>
      </c>
      <c r="E67" t="str" cm="1">
        <f t="array" ref="E67">GetValue("Dmn","Name",D67)</f>
        <v>NVARCHAR(max)</v>
      </c>
      <c r="F67" t="str" cm="1">
        <f t="array" ref="F67">GetValue("Dmn","#CategoryName",D67)</f>
        <v>text</v>
      </c>
      <c r="G67">
        <f>IF(H67="Id",5,G66+5)</f>
        <v>25</v>
      </c>
      <c r="H67" t="str" cm="1">
        <f t="array" ref="H67">GetColumnName(C67,IF(B67=B66,H66,""))</f>
        <v>Modificators</v>
      </c>
      <c r="I67" t="str">
        <f>H67</f>
        <v>Modificators</v>
      </c>
      <c r="J67" t="str">
        <f>H67</f>
        <v>Modificators</v>
      </c>
      <c r="K67" t="b">
        <v>0</v>
      </c>
      <c r="L67" t="b">
        <v>0</v>
      </c>
      <c r="M67" t="b">
        <v>0</v>
      </c>
      <c r="N67" t="b">
        <v>0</v>
      </c>
      <c r="O67" t="b">
        <v>1</v>
      </c>
      <c r="P67" t="b">
        <v>1</v>
      </c>
      <c r="Q67" t="b">
        <v>0</v>
      </c>
      <c r="R67" t="b">
        <v>0</v>
      </c>
      <c r="S67" t="b">
        <v>0</v>
      </c>
      <c r="T67" t="b">
        <v>0</v>
      </c>
    </row>
    <row r="68">
      <c r="A68">
        <f>ROW(A68)-1</f>
        <v>67</v>
      </c>
      <c r="B68">
        <v>10</v>
      </c>
      <c r="C68" t="str" cm="1">
        <f t="array" ref="C68">GetValue("Tbl","Alias",B68)</f>
        <v>Mkg</v>
      </c>
      <c r="D68">
        <v>1</v>
      </c>
      <c r="E68" t="str" cm="1">
        <f t="array" ref="E68">GetValue("Dmn","Name",D68)</f>
        <v>BigInteger</v>
      </c>
      <c r="F68" t="str" cm="1">
        <f t="array" ref="F68">GetValue("Dmn","#CategoryName",D68)</f>
        <v>number</v>
      </c>
      <c r="G68">
        <f>IF(H68="Id",5,G67+5)</f>
        <v>5</v>
      </c>
      <c r="H68" t="str" cm="1">
        <f t="array" ref="H68">GetColumnName(C68,IF(B68=B67,H67,""))</f>
        <v>Id</v>
      </c>
      <c r="I68" t="str">
        <f>H68</f>
        <v>Id</v>
      </c>
      <c r="J68" t="str">
        <f>H68</f>
        <v>Id</v>
      </c>
      <c r="K68" t="b">
        <v>1</v>
      </c>
      <c r="L68" t="b">
        <v>1</v>
      </c>
      <c r="M68" t="b">
        <v>1</v>
      </c>
      <c r="N68" t="b">
        <v>1</v>
      </c>
      <c r="O68" t="b">
        <v>0</v>
      </c>
      <c r="P68" t="b">
        <v>0</v>
      </c>
      <c r="Q68" t="b">
        <v>0</v>
      </c>
      <c r="R68" t="b">
        <v>0</v>
      </c>
      <c r="S68" t="b">
        <v>0</v>
      </c>
      <c r="T68" t="b">
        <v>0</v>
      </c>
    </row>
    <row r="69">
      <c r="A69">
        <f>ROW(A69)-1</f>
        <v>68</v>
      </c>
      <c r="B69">
        <v>10</v>
      </c>
      <c r="C69" t="str" cm="1">
        <f t="array" ref="C69">GetValue("Tbl","Alias",B69)</f>
        <v>Mkg</v>
      </c>
      <c r="D69">
        <v>1</v>
      </c>
      <c r="E69" t="str" cm="1">
        <f t="array" ref="E69">GetValue("Dmn","Name",D69)</f>
        <v>BigInteger</v>
      </c>
      <c r="F69" t="str" cm="1">
        <f t="array" ref="F69">GetValue("Dmn","#CategoryName",D69)</f>
        <v>number</v>
      </c>
      <c r="G69">
        <f>IF(H69="Id",5,G68+5)</f>
        <v>10</v>
      </c>
      <c r="H69" t="str" cm="1">
        <f t="array" ref="H69">GetColumnName(C69,IF(B69=B68,H68,""))</f>
        <v>DomainId</v>
      </c>
      <c r="I69" t="str">
        <f>H69</f>
        <v>DomainId</v>
      </c>
      <c r="J69" t="str">
        <f>H69</f>
        <v>DomainId</v>
      </c>
      <c r="K69" t="b">
        <v>1</v>
      </c>
      <c r="L69" t="b">
        <v>0</v>
      </c>
      <c r="M69" t="b">
        <v>0</v>
      </c>
      <c r="N69" t="b">
        <v>1</v>
      </c>
      <c r="O69" t="b">
        <v>1</v>
      </c>
      <c r="P69" t="b">
        <v>1</v>
      </c>
      <c r="Q69" t="b">
        <v>0</v>
      </c>
      <c r="R69" t="b">
        <v>0</v>
      </c>
      <c r="S69" t="b">
        <v>0</v>
      </c>
      <c r="T69" t="b">
        <v>0</v>
      </c>
    </row>
    <row r="70">
      <c r="A70">
        <f>ROW(A70)-1</f>
        <v>69</v>
      </c>
      <c r="B70">
        <v>10</v>
      </c>
      <c r="C70" t="str" cm="1">
        <f t="array" ref="C70">GetValue("Tbl","Alias",B70)</f>
        <v>Mkg</v>
      </c>
      <c r="D70">
        <v>1</v>
      </c>
      <c r="E70" t="str" cm="1">
        <f t="array" ref="E70">GetValue("Dmn","Name",D70)</f>
        <v>BigInteger</v>
      </c>
      <c r="F70" t="str" cm="1">
        <f t="array" ref="F70">GetValue("Dmn","#CategoryName",D70)</f>
        <v>number</v>
      </c>
      <c r="G70">
        <f>IF(H70="Id",5,G69+5)</f>
        <v>15</v>
      </c>
      <c r="H70" t="str" cm="1">
        <f t="array" ref="H70">GetColumnName(C70,IF(B70=B69,H69,""))</f>
        <v>MaskId</v>
      </c>
      <c r="I70" t="str">
        <f>H70</f>
        <v>MaskId</v>
      </c>
      <c r="J70" t="str">
        <f>H70</f>
        <v>MaskId</v>
      </c>
      <c r="K70" t="b">
        <v>1</v>
      </c>
      <c r="L70" t="b">
        <v>0</v>
      </c>
      <c r="M70" t="b">
        <v>0</v>
      </c>
      <c r="N70" t="b">
        <v>1</v>
      </c>
      <c r="O70" t="b">
        <v>1</v>
      </c>
      <c r="P70" t="b">
        <v>1</v>
      </c>
      <c r="Q70" t="b">
        <v>0</v>
      </c>
      <c r="R70" t="b">
        <v>0</v>
      </c>
      <c r="S70" t="b">
        <v>0</v>
      </c>
      <c r="T70" t="b">
        <v>0</v>
      </c>
    </row>
    <row r="71">
      <c r="A71">
        <f>ROW(A71)-1</f>
        <v>70</v>
      </c>
      <c r="B71">
        <v>10</v>
      </c>
      <c r="C71" t="str" cm="1">
        <f t="array" ref="C71">GetValue("Tbl","Alias",B71)</f>
        <v>Mkg</v>
      </c>
      <c r="D71">
        <v>5</v>
      </c>
      <c r="E71" t="str" cm="1">
        <f t="array" ref="E71">GetValue("Dmn","Name",D71)</f>
        <v>TinyInteger</v>
      </c>
      <c r="F71" t="str" cm="1">
        <f t="array" ref="F71">GetValue("Dmn","#CategoryName",D71)</f>
        <v>number</v>
      </c>
      <c r="G71">
        <f>IF(H71="Id",5,G70+5)</f>
        <v>20</v>
      </c>
      <c r="H71" t="str" cm="1">
        <f t="array" ref="H71">GetColumnName(C71,IF(B71=B70,H70,""))</f>
        <v>CheckDigitModule</v>
      </c>
      <c r="I71" t="str">
        <f>H71</f>
        <v>CheckDigitModule</v>
      </c>
      <c r="J71" t="str">
        <f>H71</f>
        <v>CheckDigitModule</v>
      </c>
      <c r="K71" t="b">
        <v>0</v>
      </c>
      <c r="L71" t="b">
        <v>0</v>
      </c>
      <c r="M71" t="b">
        <v>0</v>
      </c>
      <c r="N71" t="b">
        <v>1</v>
      </c>
      <c r="O71" t="b">
        <v>1</v>
      </c>
      <c r="P71" t="b">
        <v>1</v>
      </c>
      <c r="Q71" t="b">
        <v>0</v>
      </c>
      <c r="R71" t="b">
        <v>0</v>
      </c>
      <c r="S71" t="b">
        <v>0</v>
      </c>
      <c r="T71" t="b">
        <v>0</v>
      </c>
    </row>
    <row r="72">
      <c r="A72">
        <f>ROW(A72)-1</f>
        <v>71</v>
      </c>
      <c r="B72">
        <v>10</v>
      </c>
      <c r="C72" t="str" cm="1">
        <f t="array" ref="C72">GetValue("Tbl","Alias",B72)</f>
        <v>Mkg</v>
      </c>
      <c r="D72">
        <v>13</v>
      </c>
      <c r="E72" t="str" cm="1">
        <f t="array" ref="E72">GetValue("Dmn","Name",D72)</f>
        <v>NVARCHAR(max)</v>
      </c>
      <c r="F72" t="str" cm="1">
        <f t="array" ref="F72">GetValue("Dmn","#CategoryName",D72)</f>
        <v>text</v>
      </c>
      <c r="G72">
        <f>IF(H72="Id",5,G71+5)</f>
        <v>25</v>
      </c>
      <c r="H72" t="str" cm="1">
        <f t="array" ref="H72">GetColumnName(C72,IF(B72=B71,H71,""))</f>
        <v>CheckDigitFactors</v>
      </c>
      <c r="I72" t="str">
        <f>H72</f>
        <v>CheckDigitFactors</v>
      </c>
      <c r="J72" t="str">
        <f>H72</f>
        <v>CheckDigitFactors</v>
      </c>
      <c r="K72" t="b">
        <v>0</v>
      </c>
      <c r="L72" t="b">
        <v>0</v>
      </c>
      <c r="M72" t="b">
        <v>0</v>
      </c>
      <c r="N72" t="b">
        <v>1</v>
      </c>
      <c r="O72" t="b">
        <v>1</v>
      </c>
      <c r="P72" t="b">
        <v>1</v>
      </c>
      <c r="Q72" t="b">
        <v>0</v>
      </c>
      <c r="R72" t="b">
        <v>0</v>
      </c>
      <c r="S72" t="b">
        <v>0</v>
      </c>
      <c r="T72" t="b">
        <v>0</v>
      </c>
    </row>
    <row r="73">
      <c r="A73">
        <f>ROW(A73)-1</f>
        <v>72</v>
      </c>
      <c r="B73">
        <v>10</v>
      </c>
      <c r="C73" t="str" cm="1">
        <f t="array" ref="C73">GetValue("Tbl","Alias",B73)</f>
        <v>Mkg</v>
      </c>
      <c r="D73">
        <v>21</v>
      </c>
      <c r="E73" t="str" cm="1">
        <f t="array" ref="E73">GetValue("Dmn","Name",D73)</f>
        <v>CHAR(1)</v>
      </c>
      <c r="F73" t="str" cm="1">
        <f t="array" ref="F73">GetValue("Dmn","#CategoryName",D73)</f>
        <v>string</v>
      </c>
      <c r="G73">
        <f>IF(H73="Id",5,G72+5)</f>
        <v>30</v>
      </c>
      <c r="H73" t="str" cm="1">
        <f t="array" ref="H73">GetColumnName(C73,IF(B73=B72,H72,""))</f>
        <v>CheckDigitGreaterThanNine</v>
      </c>
      <c r="I73" t="str">
        <f>H73</f>
        <v>CheckDigitGreaterThanNine</v>
      </c>
      <c r="J73" t="str">
        <f>H73</f>
        <v>CheckDigitGreaterThanNine</v>
      </c>
      <c r="K73" t="b">
        <v>0</v>
      </c>
      <c r="L73" t="b">
        <v>0</v>
      </c>
      <c r="M73" t="b">
        <v>0</v>
      </c>
      <c r="N73" t="b">
        <v>1</v>
      </c>
      <c r="O73" t="b">
        <v>1</v>
      </c>
      <c r="P73" t="b">
        <v>1</v>
      </c>
      <c r="Q73" t="b">
        <v>0</v>
      </c>
      <c r="R73" t="b">
        <v>0</v>
      </c>
      <c r="S73" t="b">
        <v>0</v>
      </c>
      <c r="T73" t="b">
        <v>0</v>
      </c>
    </row>
    <row r="74">
      <c r="A74">
        <f>ROW(A74)-1</f>
        <v>73</v>
      </c>
      <c r="B74">
        <v>11</v>
      </c>
      <c r="C74" t="str" cm="1">
        <f t="array" ref="C74">GetValue("Tbl","Alias",B74)</f>
        <v>Db</v>
      </c>
      <c r="D74">
        <v>1</v>
      </c>
      <c r="E74" t="str" cm="1">
        <f t="array" ref="E74">GetValue("Dmn","Name",D74)</f>
        <v>BigInteger</v>
      </c>
      <c r="F74" t="str" cm="1">
        <f t="array" ref="F74">GetValue("Dmn","#CategoryName",D74)</f>
        <v>number</v>
      </c>
      <c r="G74">
        <f>IF(H74="Id",5,G73+5)</f>
        <v>5</v>
      </c>
      <c r="H74" t="str" cm="1">
        <f t="array" ref="H74">GetColumnName(C74,IF(B74=B73,H73,""))</f>
        <v>Id</v>
      </c>
      <c r="I74" t="str">
        <f>H74</f>
        <v>Id</v>
      </c>
      <c r="J74" t="str">
        <f>H74</f>
        <v>Id</v>
      </c>
      <c r="K74" t="b">
        <v>1</v>
      </c>
      <c r="L74" t="b">
        <v>1</v>
      </c>
      <c r="M74" t="b">
        <v>1</v>
      </c>
      <c r="N74" t="b">
        <v>1</v>
      </c>
      <c r="O74" t="b">
        <v>0</v>
      </c>
      <c r="P74" t="b">
        <v>0</v>
      </c>
      <c r="Q74" t="b">
        <v>0</v>
      </c>
      <c r="R74" t="b">
        <v>0</v>
      </c>
      <c r="S74" t="b">
        <v>0</v>
      </c>
      <c r="T74" t="b">
        <v>0</v>
      </c>
    </row>
    <row r="75">
      <c r="A75">
        <f>ROW(A75)-1</f>
        <v>74</v>
      </c>
      <c r="B75">
        <v>11</v>
      </c>
      <c r="C75" t="str" cm="1">
        <f t="array" ref="C75">GetValue("Tbl","Alias",B75)</f>
        <v>Db</v>
      </c>
      <c r="D75">
        <v>4</v>
      </c>
      <c r="E75" t="str" cm="1">
        <f t="array" ref="E75">GetValue("Dmn","Name",D75)</f>
        <v>SmallInteger</v>
      </c>
      <c r="F75" t="str" cm="1">
        <f t="array" ref="F75">GetValue("Dmn","#CategoryName",D75)</f>
        <v>number</v>
      </c>
      <c r="G75">
        <f>IF(H75="Id",5,G74+5)</f>
        <v>10</v>
      </c>
      <c r="H75" t="str" cm="1">
        <f t="array" ref="H75">GetColumnName(C75,IF(B75=B74,H74,""))</f>
        <v>OwnertId</v>
      </c>
      <c r="I75" t="str">
        <f>H75</f>
        <v>OwnertId</v>
      </c>
      <c r="J75" t="str">
        <f>H75</f>
        <v>OwnertId</v>
      </c>
      <c r="K75" t="b">
        <v>1</v>
      </c>
      <c r="L75" t="b">
        <v>0</v>
      </c>
      <c r="M75" t="b">
        <v>0</v>
      </c>
      <c r="N75" t="b">
        <v>1</v>
      </c>
      <c r="O75" t="b">
        <v>1</v>
      </c>
      <c r="P75" t="b">
        <v>1</v>
      </c>
      <c r="Q75" t="b">
        <v>0</v>
      </c>
      <c r="R75" t="b">
        <v>0</v>
      </c>
      <c r="S75" t="b">
        <v>0</v>
      </c>
      <c r="T75" t="b">
        <v>0</v>
      </c>
    </row>
    <row r="76">
      <c r="A76">
        <f>ROW(A76)-1</f>
        <v>75</v>
      </c>
      <c r="B76">
        <v>11</v>
      </c>
      <c r="C76" t="str" cm="1">
        <f t="array" ref="C76">GetValue("Tbl","Alias",B76)</f>
        <v>Db</v>
      </c>
      <c r="D76">
        <v>5</v>
      </c>
      <c r="E76" t="str" cm="1">
        <f t="array" ref="E76">GetValue("Dmn","Name",D76)</f>
        <v>TinyInteger</v>
      </c>
      <c r="F76" t="str" cm="1">
        <f t="array" ref="F76">GetValue("Dmn","#CategoryName",D76)</f>
        <v>number</v>
      </c>
      <c r="G76">
        <f>IF(H76="Id",5,G75+5)</f>
        <v>15</v>
      </c>
      <c r="H76" t="str" cm="1">
        <f t="array" ref="H76">GetColumnName(C76,IF(B76=B75,H75,""))</f>
        <v>Name</v>
      </c>
      <c r="I76" t="str">
        <f>H76</f>
        <v>Name</v>
      </c>
      <c r="J76" t="str">
        <f>H76</f>
        <v>Name</v>
      </c>
      <c r="K76" t="b">
        <v>1</v>
      </c>
      <c r="L76" t="b">
        <v>0</v>
      </c>
      <c r="M76" t="b">
        <v>0</v>
      </c>
      <c r="N76" t="b">
        <v>1</v>
      </c>
      <c r="O76" t="b">
        <v>1</v>
      </c>
      <c r="P76" t="b">
        <v>1</v>
      </c>
      <c r="Q76" t="b">
        <v>1</v>
      </c>
      <c r="R76" t="b">
        <v>0</v>
      </c>
      <c r="S76" t="b">
        <v>0</v>
      </c>
      <c r="T76" t="b">
        <v>0</v>
      </c>
    </row>
    <row r="77">
      <c r="A77">
        <f>ROW(A77)-1</f>
        <v>76</v>
      </c>
      <c r="B77">
        <v>11</v>
      </c>
      <c r="C77" t="str" cm="1">
        <f t="array" ref="C77">GetValue("Tbl","Alias",B77)</f>
        <v>Db</v>
      </c>
      <c r="D77">
        <v>10</v>
      </c>
      <c r="E77" t="str" cm="1">
        <f t="array" ref="E77">GetValue("Dmn","Name",D77)</f>
        <v>NVARCHAR(25)</v>
      </c>
      <c r="F77" t="str" cm="1">
        <f t="array" ref="F77">GetValue("Dmn","#CategoryName",D77)</f>
        <v>string</v>
      </c>
      <c r="G77">
        <f>IF(H77="Id",5,G76+5)</f>
        <v>20</v>
      </c>
      <c r="H77" t="str" cm="1">
        <f t="array" ref="H77">GetColumnName(C77,IF(B77=B76,H76,""))</f>
        <v>Description</v>
      </c>
      <c r="I77" t="str">
        <f>H77</f>
        <v>Description</v>
      </c>
      <c r="J77" t="str">
        <f>H77</f>
        <v>Description</v>
      </c>
      <c r="K77" t="b">
        <v>1</v>
      </c>
      <c r="L77" t="b">
        <v>0</v>
      </c>
      <c r="M77" t="b">
        <v>0</v>
      </c>
      <c r="N77" t="b">
        <v>0</v>
      </c>
      <c r="O77" t="b">
        <v>1</v>
      </c>
      <c r="P77" t="b">
        <v>1</v>
      </c>
      <c r="Q77" t="b">
        <v>0</v>
      </c>
      <c r="R77" t="b">
        <v>0</v>
      </c>
      <c r="S77" t="b">
        <v>0</v>
      </c>
      <c r="T77" t="b">
        <v>0</v>
      </c>
    </row>
    <row r="78">
      <c r="A78">
        <f>ROW(A78)-1</f>
        <v>77</v>
      </c>
      <c r="B78">
        <v>12</v>
      </c>
      <c r="C78" t="str" cm="1">
        <f t="array" ref="C78">GetValue("Tbl","Alias",B78)</f>
        <v>Env</v>
      </c>
      <c r="D78">
        <v>1</v>
      </c>
      <c r="E78" t="str" cm="1">
        <f t="array" ref="E78">GetValue("Dmn","Name",D78)</f>
        <v>BigInteger</v>
      </c>
      <c r="F78" t="str" cm="1">
        <f t="array" ref="F78">GetValue("Dmn","#CategoryName",D78)</f>
        <v>number</v>
      </c>
      <c r="G78">
        <f>IF(H78="Id",5,G77+5)</f>
        <v>5</v>
      </c>
      <c r="H78" t="str" cm="1">
        <f t="array" ref="H78">GetColumnName(C78,IF(B78=B77,H77,""))</f>
        <v>Id</v>
      </c>
      <c r="I78" t="str">
        <f>H78</f>
        <v>Id</v>
      </c>
      <c r="J78" t="str">
        <f>H78</f>
        <v>Id</v>
      </c>
      <c r="K78" t="b">
        <v>1</v>
      </c>
      <c r="L78" t="b">
        <v>1</v>
      </c>
      <c r="M78" t="b">
        <v>1</v>
      </c>
      <c r="N78" t="b">
        <v>1</v>
      </c>
      <c r="O78" t="b">
        <v>0</v>
      </c>
      <c r="P78" t="b">
        <v>0</v>
      </c>
      <c r="Q78" t="b">
        <v>0</v>
      </c>
      <c r="R78" t="b">
        <v>0</v>
      </c>
      <c r="S78" t="b">
        <v>0</v>
      </c>
      <c r="T78" t="b">
        <v>0</v>
      </c>
    </row>
    <row r="79">
      <c r="A79">
        <f>ROW(A79)-1</f>
        <v>78</v>
      </c>
      <c r="B79">
        <v>12</v>
      </c>
      <c r="C79" t="str" cm="1">
        <f t="array" ref="C79">GetValue("Tbl","Alias",B79)</f>
        <v>Env</v>
      </c>
      <c r="D79">
        <v>4</v>
      </c>
      <c r="E79" t="str" cm="1">
        <f t="array" ref="E79">GetValue("Dmn","Name",D79)</f>
        <v>SmallInteger</v>
      </c>
      <c r="F79" t="str" cm="1">
        <f t="array" ref="F79">GetValue("Dmn","#CategoryName",D79)</f>
        <v>number</v>
      </c>
      <c r="G79">
        <f>IF(H79="Id",5,G78+5)</f>
        <v>10</v>
      </c>
      <c r="H79" t="str" cm="1">
        <f t="array" ref="H79">GetColumnName(C79,IF(B79=B78,H78,""))</f>
        <v>OwnertId</v>
      </c>
      <c r="I79" t="str">
        <f>H79</f>
        <v>OwnertId</v>
      </c>
      <c r="J79" t="str">
        <f>H79</f>
        <v>OwnertId</v>
      </c>
      <c r="K79" t="b">
        <v>1</v>
      </c>
      <c r="L79" t="b">
        <v>0</v>
      </c>
      <c r="M79" t="b">
        <v>0</v>
      </c>
      <c r="N79" t="b">
        <v>1</v>
      </c>
      <c r="O79" t="b">
        <v>1</v>
      </c>
      <c r="P79" t="b">
        <v>1</v>
      </c>
      <c r="Q79" t="b">
        <v>0</v>
      </c>
      <c r="R79" t="b">
        <v>0</v>
      </c>
      <c r="S79" t="b">
        <v>0</v>
      </c>
      <c r="T79" t="b">
        <v>0</v>
      </c>
    </row>
    <row r="80">
      <c r="A80">
        <f>ROW(A80)-1</f>
        <v>79</v>
      </c>
      <c r="B80">
        <v>12</v>
      </c>
      <c r="C80" t="str" cm="1">
        <f t="array" ref="C80">GetValue("Tbl","Alias",B80)</f>
        <v>Env</v>
      </c>
      <c r="D80">
        <v>1</v>
      </c>
      <c r="E80" t="str" cm="1">
        <f t="array" ref="E80">GetValue("Dmn","Name",D80)</f>
        <v>BigInteger</v>
      </c>
      <c r="F80" t="str" cm="1">
        <f t="array" ref="F80">GetValue("Dmn","#CategoryName",D80)</f>
        <v>number</v>
      </c>
      <c r="G80">
        <f>IF(H80="Id",5,G79+5)</f>
        <v>15</v>
      </c>
      <c r="H80" t="str" cm="1">
        <f t="array" ref="H80">GetColumnName(C80,IF(B80=B79,H79,""))</f>
        <v>ParentEnvironmentId</v>
      </c>
      <c r="I80" t="str">
        <f>H80</f>
        <v>ParentEnvironmentId</v>
      </c>
      <c r="J80" t="str">
        <f>H80</f>
        <v>ParentEnvironmentId</v>
      </c>
      <c r="K80" t="b">
        <v>0</v>
      </c>
      <c r="L80" t="b">
        <v>0</v>
      </c>
      <c r="M80" t="b">
        <v>0</v>
      </c>
      <c r="N80" t="b">
        <v>1</v>
      </c>
      <c r="O80" t="b">
        <v>1</v>
      </c>
      <c r="P80" t="b">
        <v>1</v>
      </c>
      <c r="Q80" t="b">
        <v>0</v>
      </c>
      <c r="R80" t="b">
        <v>0</v>
      </c>
      <c r="S80" t="b">
        <v>0</v>
      </c>
      <c r="T80" t="b">
        <v>0</v>
      </c>
    </row>
    <row r="81">
      <c r="A81">
        <f>ROW(A81)-1</f>
        <v>80</v>
      </c>
      <c r="B81">
        <v>12</v>
      </c>
      <c r="C81" t="str" cm="1">
        <f t="array" ref="C81">GetValue("Tbl","Alias",B81)</f>
        <v>Env</v>
      </c>
      <c r="D81">
        <v>9</v>
      </c>
      <c r="E81" t="str" cm="1">
        <f t="array" ref="E81">GetValue("Dmn","Name",D81)</f>
        <v>NVARCHAR(20)</v>
      </c>
      <c r="F81" t="str" cm="1">
        <f t="array" ref="F81">GetValue("Dmn","#CategoryName",D81)</f>
        <v>string</v>
      </c>
      <c r="G81">
        <f>IF(H81="Id",5,G80+5)</f>
        <v>20</v>
      </c>
      <c r="H81" t="str" cm="1">
        <f t="array" ref="H81">GetColumnName(C81,IF(B81=B80,H80,""))</f>
        <v>Name</v>
      </c>
      <c r="I81" t="str">
        <f>H81</f>
        <v>Name</v>
      </c>
      <c r="J81" t="str">
        <f>H81</f>
        <v>Name</v>
      </c>
      <c r="K81" t="b">
        <v>1</v>
      </c>
      <c r="L81" t="b">
        <v>0</v>
      </c>
      <c r="M81" t="b">
        <v>0</v>
      </c>
      <c r="N81" t="b">
        <v>1</v>
      </c>
      <c r="O81" t="b">
        <v>1</v>
      </c>
      <c r="P81" t="b">
        <v>1</v>
      </c>
      <c r="Q81" t="b">
        <v>1</v>
      </c>
      <c r="R81" t="b">
        <v>0</v>
      </c>
      <c r="S81" t="b">
        <v>0</v>
      </c>
      <c r="T81" t="b">
        <v>0</v>
      </c>
    </row>
    <row r="82">
      <c r="A82">
        <f>ROW(A82)-1</f>
        <v>81</v>
      </c>
      <c r="B82">
        <v>12</v>
      </c>
      <c r="C82" t="str" cm="1">
        <f t="array" ref="C82">GetValue("Tbl","Alias",B82)</f>
        <v>Env</v>
      </c>
      <c r="D82">
        <v>12</v>
      </c>
      <c r="E82" t="str" cm="1">
        <f t="array" ref="E82">GetValue("Dmn","Name",D82)</f>
        <v>NVARCHAR(256)</v>
      </c>
      <c r="F82" t="str" cm="1">
        <f t="array" ref="F82">GetValue("Dmn","#CategoryName",D82)</f>
        <v>string</v>
      </c>
      <c r="G82">
        <f>IF(H82="Id",5,G81+5)</f>
        <v>25</v>
      </c>
      <c r="H82" t="str" cm="1">
        <f t="array" ref="H82">GetColumnName(C82,IF(B82=B81,H81,""))</f>
        <v>Description</v>
      </c>
      <c r="I82" t="str">
        <f>H82</f>
        <v>Description</v>
      </c>
      <c r="J82" t="str">
        <f>H82</f>
        <v>Description</v>
      </c>
      <c r="K82" t="b">
        <v>0</v>
      </c>
      <c r="L82" t="b">
        <v>0</v>
      </c>
      <c r="M82" t="b">
        <v>0</v>
      </c>
      <c r="N82" t="b">
        <v>1</v>
      </c>
      <c r="O82" t="b">
        <v>1</v>
      </c>
      <c r="P82" t="b">
        <v>1</v>
      </c>
      <c r="Q82" t="b">
        <v>0</v>
      </c>
      <c r="R82" t="b">
        <v>0</v>
      </c>
      <c r="S82" t="b">
        <v>0</v>
      </c>
      <c r="T82" t="b">
        <v>0</v>
      </c>
    </row>
    <row r="83">
      <c r="A83">
        <f>ROW(A83)-1</f>
        <v>82</v>
      </c>
      <c r="B83">
        <v>13</v>
      </c>
      <c r="C83" t="str" cm="1">
        <f t="array" ref="C83">GetValue("Tbl","Alias",B83)</f>
        <v>Con</v>
      </c>
      <c r="D83">
        <v>12</v>
      </c>
      <c r="E83" t="str" cm="1">
        <f t="array" ref="E83">GetValue("Dmn","Name",D83)</f>
        <v>NVARCHAR(256)</v>
      </c>
      <c r="F83" t="str" cm="1">
        <f t="array" ref="F83">GetValue("Dmn","#CategoryName",D83)</f>
        <v>string</v>
      </c>
      <c r="G83">
        <f>IF(H83="Id",5,G82+5)</f>
        <v>5</v>
      </c>
      <c r="H83" t="str" cm="1">
        <f t="array" ref="H83">GetColumnName(C83,IF(B83=B82,H82,""))</f>
        <v>Id</v>
      </c>
      <c r="I83" t="str">
        <f>H83</f>
        <v>Id</v>
      </c>
      <c r="J83" t="str">
        <f>H83</f>
        <v>Id</v>
      </c>
      <c r="K83" t="b">
        <v>1</v>
      </c>
      <c r="L83" t="b">
        <v>1</v>
      </c>
      <c r="M83" t="b">
        <v>1</v>
      </c>
      <c r="N83" t="b">
        <v>1</v>
      </c>
      <c r="O83" t="b">
        <v>0</v>
      </c>
      <c r="P83" t="b">
        <v>0</v>
      </c>
      <c r="Q83" t="b">
        <v>0</v>
      </c>
      <c r="R83" t="b">
        <v>0</v>
      </c>
      <c r="S83" t="b">
        <v>0</v>
      </c>
      <c r="T83" t="b">
        <v>0</v>
      </c>
    </row>
    <row r="84">
      <c r="A84">
        <f>ROW(A84)-1</f>
        <v>83</v>
      </c>
      <c r="B84">
        <v>13</v>
      </c>
      <c r="C84" t="str" cm="1">
        <f t="array" ref="C84">GetValue("Tbl","Alias",B84)</f>
        <v>Con</v>
      </c>
      <c r="D84">
        <v>1</v>
      </c>
      <c r="E84" t="str" cm="1">
        <f t="array" ref="E84">GetValue("Dmn","Name",D84)</f>
        <v>BigInteger</v>
      </c>
      <c r="F84" t="str" cm="1">
        <f t="array" ref="F84">GetValue("Dmn","#CategoryName",D84)</f>
        <v>number</v>
      </c>
      <c r="G84">
        <f>IF(H84="Id",5,G83+5)</f>
        <v>10</v>
      </c>
      <c r="H84" t="str" cm="1">
        <f t="array" ref="H84">GetColumnName(C84,IF(B84=B83,H83,""))</f>
        <v>OwnertId</v>
      </c>
      <c r="I84" t="str">
        <f>H84</f>
        <v>OwnertId</v>
      </c>
      <c r="J84" t="str">
        <f>H84</f>
        <v>OwnertId</v>
      </c>
      <c r="K84" t="b">
        <v>1</v>
      </c>
      <c r="L84" t="b">
        <v>0</v>
      </c>
      <c r="M84" t="b">
        <v>0</v>
      </c>
      <c r="N84" t="b">
        <v>1</v>
      </c>
      <c r="O84" t="b">
        <v>0</v>
      </c>
      <c r="P84" t="b">
        <v>0</v>
      </c>
      <c r="Q84" t="b">
        <v>0</v>
      </c>
      <c r="R84" t="b">
        <v>0</v>
      </c>
      <c r="S84" t="b">
        <v>0</v>
      </c>
      <c r="T84" t="b">
        <v>0</v>
      </c>
    </row>
    <row r="85">
      <c r="A85">
        <f>ROW(A85)-1</f>
        <v>84</v>
      </c>
      <c r="B85">
        <v>13</v>
      </c>
      <c r="C85" t="str" cm="1">
        <f t="array" ref="C85">GetValue("Tbl","Alias",B85)</f>
        <v>Con</v>
      </c>
      <c r="D85">
        <v>1</v>
      </c>
      <c r="E85" t="str" cm="1">
        <f t="array" ref="E85">GetValue("Dmn","Name",D85)</f>
        <v>BigInteger</v>
      </c>
      <c r="F85" t="str" cm="1">
        <f t="array" ref="F85">GetValue("Dmn","#CategoryName",D85)</f>
        <v>number</v>
      </c>
      <c r="G85">
        <f>IF(H85="Id",5,G84+5)</f>
        <v>15</v>
      </c>
      <c r="H85" t="str" cm="1">
        <f t="array" ref="H85">GetColumnName(C85,IF(B85=B84,H84,""))</f>
        <v>DatabaseId</v>
      </c>
      <c r="I85" t="str">
        <f>H85</f>
        <v>DatabaseId</v>
      </c>
      <c r="J85" t="str">
        <f>H85</f>
        <v>DatabaseId</v>
      </c>
      <c r="K85" t="b">
        <v>1</v>
      </c>
      <c r="L85" t="b">
        <v>0</v>
      </c>
      <c r="M85" t="b">
        <v>0</v>
      </c>
      <c r="N85" t="b">
        <v>1</v>
      </c>
      <c r="O85" t="b">
        <v>1</v>
      </c>
      <c r="P85" t="b">
        <v>1</v>
      </c>
      <c r="Q85" t="b">
        <v>0</v>
      </c>
      <c r="R85" t="b">
        <v>0</v>
      </c>
      <c r="S85" t="b">
        <v>0</v>
      </c>
      <c r="T85" t="b">
        <v>0</v>
      </c>
    </row>
    <row r="86">
      <c r="A86">
        <f>ROW(A86)-1</f>
        <v>85</v>
      </c>
      <c r="B86">
        <v>13</v>
      </c>
      <c r="C86" t="str" cm="1">
        <f t="array" ref="C86">GetValue("Tbl","Alias",B86)</f>
        <v>Con</v>
      </c>
      <c r="D86">
        <v>9</v>
      </c>
      <c r="E86" t="str" cm="1">
        <f t="array" ref="E86">GetValue("Dmn","Name",D86)</f>
        <v>NVARCHAR(20)</v>
      </c>
      <c r="F86" t="str" cm="1">
        <f t="array" ref="F86">GetValue("Dmn","#CategoryName",D86)</f>
        <v>string</v>
      </c>
      <c r="G86">
        <f>IF(H86="Id",5,G85+5)</f>
        <v>20</v>
      </c>
      <c r="H86" t="str" cm="1">
        <f t="array" ref="H86">GetColumnName(C86,IF(B86=B85,H85,""))</f>
        <v>Environment</v>
      </c>
      <c r="I86" t="str">
        <f>H86</f>
        <v>Environment</v>
      </c>
      <c r="J86" t="str">
        <f>H86</f>
        <v>Environment</v>
      </c>
      <c r="K86" t="b">
        <v>1</v>
      </c>
      <c r="L86" t="b">
        <v>0</v>
      </c>
      <c r="M86" t="b">
        <v>0</v>
      </c>
      <c r="N86" t="b">
        <v>1</v>
      </c>
      <c r="O86" t="b">
        <v>1</v>
      </c>
      <c r="P86" t="b">
        <v>1</v>
      </c>
      <c r="Q86" t="b">
        <v>0</v>
      </c>
      <c r="R86" t="b">
        <v>0</v>
      </c>
      <c r="S86" t="b">
        <v>0</v>
      </c>
      <c r="T86" t="b">
        <v>0</v>
      </c>
    </row>
    <row r="87">
      <c r="A87">
        <f>ROW(A87)-1</f>
        <v>86</v>
      </c>
      <c r="B87">
        <v>13</v>
      </c>
      <c r="C87" t="str" cm="1">
        <f t="array" ref="C87">GetValue("Tbl","Alias",B87)</f>
        <v>Con</v>
      </c>
      <c r="D87">
        <v>10</v>
      </c>
      <c r="E87" t="str" cm="1">
        <f t="array" ref="E87">GetValue("Dmn","Name",D87)</f>
        <v>NVARCHAR(25)</v>
      </c>
      <c r="F87" t="str" cm="1">
        <f t="array" ref="F87">GetValue("Dmn","#CategoryName",D87)</f>
        <v>string</v>
      </c>
      <c r="G87">
        <f>IF(H87="Id",5,G86+5)</f>
        <v>25</v>
      </c>
      <c r="H87" t="str" cm="1">
        <f t="array" ref="H87">GetColumnName(C87,IF(B87=B86,H86,""))</f>
        <v>Directory</v>
      </c>
      <c r="I87" t="str">
        <f>H87</f>
        <v>Directory</v>
      </c>
      <c r="J87" t="str">
        <f>H87</f>
        <v>Directory</v>
      </c>
      <c r="K87" t="b">
        <v>0</v>
      </c>
      <c r="L87" t="b">
        <v>0</v>
      </c>
      <c r="M87" t="b">
        <v>0</v>
      </c>
      <c r="N87" t="b">
        <v>1</v>
      </c>
      <c r="O87" t="b">
        <v>1</v>
      </c>
      <c r="P87" t="b">
        <v>1</v>
      </c>
      <c r="Q87" t="b">
        <v>0</v>
      </c>
      <c r="R87" t="b">
        <v>0</v>
      </c>
      <c r="S87" t="b">
        <v>0</v>
      </c>
      <c r="T87" t="b">
        <v>0</v>
      </c>
    </row>
    <row r="88">
      <c r="A88">
        <f>ROW(A88)-1</f>
        <v>87</v>
      </c>
      <c r="B88">
        <v>13</v>
      </c>
      <c r="C88" t="str" cm="1">
        <f t="array" ref="C88">GetValue("Tbl","Alias",B88)</f>
        <v>Con</v>
      </c>
      <c r="D88">
        <v>11</v>
      </c>
      <c r="E88" t="str" cm="1">
        <f t="array" ref="E88">GetValue("Dmn","Name",D88)</f>
        <v>NVARCHAR(50)</v>
      </c>
      <c r="F88" t="str" cm="1">
        <f t="array" ref="F88">GetValue("Dmn","#CategoryName",D88)</f>
        <v>string</v>
      </c>
      <c r="G88">
        <f>IF(H88="Id",5,G87+5)</f>
        <v>30</v>
      </c>
      <c r="H88" t="str" cm="1">
        <f t="array" ref="H88">GetColumnName(C88,IF(B88=B87,H87,""))</f>
        <v>ConnectionString</v>
      </c>
      <c r="I88" t="str">
        <f>H88</f>
        <v>ConnectionString</v>
      </c>
      <c r="J88" t="str">
        <f>H88</f>
        <v>ConnectionString</v>
      </c>
      <c r="K88" t="b">
        <v>1</v>
      </c>
      <c r="L88" t="b">
        <v>0</v>
      </c>
      <c r="M88" t="b">
        <v>0</v>
      </c>
      <c r="N88" t="b">
        <v>1</v>
      </c>
      <c r="O88" t="b">
        <v>1</v>
      </c>
      <c r="P88" t="b">
        <v>1</v>
      </c>
      <c r="Q88" t="b">
        <v>0</v>
      </c>
      <c r="R88" t="b">
        <v>0</v>
      </c>
      <c r="S88" t="b">
        <v>0</v>
      </c>
      <c r="T88" t="b">
        <v>0</v>
      </c>
    </row>
    <row r="89">
      <c r="A89">
        <f>ROW(A89)-1</f>
        <v>88</v>
      </c>
      <c r="B89">
        <v>13</v>
      </c>
      <c r="C89" t="str" cm="1">
        <f t="array" ref="C89">GetValue("Tbl","Alias",B89)</f>
        <v>Con</v>
      </c>
      <c r="D89">
        <v>5</v>
      </c>
      <c r="E89" t="str" cm="1">
        <f t="array" ref="E89">GetValue("Dmn","Name",D89)</f>
        <v>TinyInteger</v>
      </c>
      <c r="F89" t="str" cm="1">
        <f t="array" ref="F89">GetValue("Dmn","#CategoryName",D89)</f>
        <v>number</v>
      </c>
      <c r="G89">
        <f>IF(H89="Id",5,G88+5)</f>
        <v>35</v>
      </c>
      <c r="H89" t="str" cm="1">
        <f t="array" ref="H89">GetColumnName(C89,IF(B89=B88,H88,""))</f>
        <v>IsActive</v>
      </c>
      <c r="I89" t="str">
        <f>H89</f>
        <v>IsActive</v>
      </c>
      <c r="J89" t="str">
        <f>H89</f>
        <v>IsActive</v>
      </c>
      <c r="K89" t="b">
        <v>0</v>
      </c>
      <c r="L89" t="b">
        <v>0</v>
      </c>
      <c r="M89" t="b">
        <v>0</v>
      </c>
      <c r="N89" t="b">
        <v>1</v>
      </c>
      <c r="O89" t="b">
        <v>1</v>
      </c>
      <c r="P89" t="b">
        <v>1</v>
      </c>
      <c r="Q89" t="b">
        <v>0</v>
      </c>
      <c r="R89" t="b">
        <v>0</v>
      </c>
      <c r="S89" t="b">
        <v>0</v>
      </c>
      <c r="T89" t="b">
        <v>0</v>
      </c>
    </row>
    <row r="90">
      <c r="A90">
        <f>ROW(A90)-1</f>
        <v>89</v>
      </c>
      <c r="B90">
        <v>14</v>
      </c>
      <c r="C90" t="str" cm="1">
        <f t="array" ref="C90">GetValue("Tbl","Alias",B90)</f>
        <v>Sys</v>
      </c>
      <c r="D90">
        <v>6</v>
      </c>
      <c r="E90" t="str" cm="1">
        <f t="array" ref="E90">GetValue("Dmn","Name",D90)</f>
        <v>Boolean</v>
      </c>
      <c r="F90" t="str" cm="1">
        <f t="array" ref="F90">GetValue("Dmn","#CategoryName",D90)</f>
        <v>boolean</v>
      </c>
      <c r="G90">
        <f>IF(H90="Id",5,G89+5)</f>
        <v>5</v>
      </c>
      <c r="H90" t="str" cm="1">
        <f t="array" ref="H90">GetColumnName(C90,IF(B90=B89,H89,""))</f>
        <v>Id</v>
      </c>
      <c r="I90" t="str">
        <f>H90</f>
        <v>Id</v>
      </c>
      <c r="J90" t="str">
        <f>H90</f>
        <v>Id</v>
      </c>
      <c r="K90" t="b">
        <v>1</v>
      </c>
      <c r="L90" t="b">
        <v>1</v>
      </c>
      <c r="M90" t="b">
        <v>1</v>
      </c>
      <c r="N90" t="b">
        <v>1</v>
      </c>
      <c r="O90" t="b">
        <v>0</v>
      </c>
      <c r="P90" t="b">
        <v>0</v>
      </c>
      <c r="Q90" t="b">
        <v>0</v>
      </c>
      <c r="R90" t="b">
        <v>0</v>
      </c>
      <c r="S90" t="b">
        <v>0</v>
      </c>
      <c r="T90" t="b">
        <v>0</v>
      </c>
    </row>
    <row r="91">
      <c r="A91">
        <f>ROW(A91)-1</f>
        <v>90</v>
      </c>
      <c r="B91">
        <v>14</v>
      </c>
      <c r="C91" t="str" cm="1">
        <f t="array" ref="C91">GetValue("Tbl","Alias",B91)</f>
        <v>Sys</v>
      </c>
      <c r="D91">
        <v>1</v>
      </c>
      <c r="E91" t="str" cm="1">
        <f t="array" ref="E91">GetValue("Dmn","Name",D91)</f>
        <v>BigInteger</v>
      </c>
      <c r="F91" t="str" cm="1">
        <f t="array" ref="F91">GetValue("Dmn","#CategoryName",D91)</f>
        <v>number</v>
      </c>
      <c r="G91">
        <f>IF(H91="Id",5,G90+5)</f>
        <v>10</v>
      </c>
      <c r="H91" t="str" cm="1">
        <f t="array" ref="H91">GetColumnName(C91,IF(B91=B90,H90,""))</f>
        <v>DatabaseId</v>
      </c>
      <c r="I91" t="str">
        <f>H91</f>
        <v>DatabaseId</v>
      </c>
      <c r="J91" t="str">
        <f>H91</f>
        <v>DatabaseId</v>
      </c>
      <c r="K91" t="b">
        <v>1</v>
      </c>
      <c r="L91" t="b">
        <v>0</v>
      </c>
      <c r="M91" t="b">
        <v>0</v>
      </c>
      <c r="N91" t="b">
        <v>1</v>
      </c>
      <c r="O91" t="b">
        <v>0</v>
      </c>
      <c r="P91" t="b">
        <v>0</v>
      </c>
      <c r="Q91" t="b">
        <v>0</v>
      </c>
      <c r="R91" t="b">
        <v>0</v>
      </c>
      <c r="S91" t="b">
        <v>0</v>
      </c>
      <c r="T91" t="b">
        <v>0</v>
      </c>
    </row>
    <row r="92">
      <c r="A92">
        <f>ROW(A92)-1</f>
        <v>91</v>
      </c>
      <c r="B92">
        <v>14</v>
      </c>
      <c r="C92" t="str" cm="1">
        <f t="array" ref="C92">GetValue("Tbl","Alias",B92)</f>
        <v>Sys</v>
      </c>
      <c r="D92">
        <v>1</v>
      </c>
      <c r="E92" t="str" cm="1">
        <f t="array" ref="E92">GetValue("Dmn","Name",D92)</f>
        <v>BigInteger</v>
      </c>
      <c r="F92" t="str" cm="1">
        <f t="array" ref="F92">GetValue("Dmn","#CategoryName",D92)</f>
        <v>number</v>
      </c>
      <c r="G92">
        <f>IF(H92="Id",5,G91+5)</f>
        <v>15</v>
      </c>
      <c r="H92" t="str" cm="1">
        <f t="array" ref="H92">GetColumnName(C92,IF(B92=B91,H91,""))</f>
        <v>Prefix</v>
      </c>
      <c r="I92" t="str">
        <f>H92</f>
        <v>Prefix</v>
      </c>
      <c r="J92" t="str">
        <f>H92</f>
        <v>Prefix</v>
      </c>
      <c r="K92" t="b">
        <v>0</v>
      </c>
      <c r="L92" t="b">
        <v>0</v>
      </c>
      <c r="M92" t="b">
        <v>0</v>
      </c>
      <c r="N92" t="b">
        <v>1</v>
      </c>
      <c r="O92" t="b">
        <v>1</v>
      </c>
      <c r="P92" t="b">
        <v>1</v>
      </c>
      <c r="Q92" t="b">
        <v>0</v>
      </c>
      <c r="R92" t="b">
        <v>0</v>
      </c>
      <c r="S92" t="b">
        <v>0</v>
      </c>
      <c r="T92" t="b">
        <v>0</v>
      </c>
    </row>
    <row r="93">
      <c r="A93">
        <f>ROW(A93)-1</f>
        <v>92</v>
      </c>
      <c r="B93">
        <v>14</v>
      </c>
      <c r="C93" t="str" cm="1">
        <f t="array" ref="C93">GetValue("Tbl","Alias",B93)</f>
        <v>Sys</v>
      </c>
      <c r="D93">
        <v>9</v>
      </c>
      <c r="E93" t="str" cm="1">
        <f t="array" ref="E93">GetValue("Dmn","Name",D93)</f>
        <v>NVARCHAR(20)</v>
      </c>
      <c r="F93" t="str" cm="1">
        <f t="array" ref="F93">GetValue("Dmn","#CategoryName",D93)</f>
        <v>string</v>
      </c>
      <c r="G93">
        <f>IF(H93="Id",5,G92+5)</f>
        <v>20</v>
      </c>
      <c r="H93" t="str" cm="1">
        <f t="array" ref="H93">GetColumnName(C93,IF(B93=B92,H92,""))</f>
        <v>Name</v>
      </c>
      <c r="I93" t="str">
        <f>H93</f>
        <v>Name</v>
      </c>
      <c r="J93" t="str">
        <f>H93</f>
        <v>Name</v>
      </c>
      <c r="K93" t="b">
        <v>1</v>
      </c>
      <c r="L93" t="b">
        <v>0</v>
      </c>
      <c r="M93" t="b">
        <v>0</v>
      </c>
      <c r="N93" t="b">
        <v>1</v>
      </c>
      <c r="O93" t="b">
        <v>1</v>
      </c>
      <c r="P93" t="b">
        <v>1</v>
      </c>
      <c r="Q93" t="b">
        <v>1</v>
      </c>
      <c r="R93" t="b">
        <v>0</v>
      </c>
      <c r="S93" t="b">
        <v>0</v>
      </c>
      <c r="T93" t="b">
        <v>0</v>
      </c>
    </row>
    <row r="94">
      <c r="A94">
        <f>ROW(A94)-1</f>
        <v>93</v>
      </c>
      <c r="B94">
        <v>14</v>
      </c>
      <c r="C94" t="str" cm="1">
        <f t="array" ref="C94">GetValue("Tbl","Alias",B94)</f>
        <v>Sys</v>
      </c>
      <c r="D94">
        <v>10</v>
      </c>
      <c r="E94" t="str" cm="1">
        <f t="array" ref="E94">GetValue("Dmn","Name",D94)</f>
        <v>NVARCHAR(25)</v>
      </c>
      <c r="F94" t="str" cm="1">
        <f t="array" ref="F94">GetValue("Dmn","#CategoryName",D94)</f>
        <v>string</v>
      </c>
      <c r="G94">
        <f>IF(H94="Id",5,G93+5)</f>
        <v>25</v>
      </c>
      <c r="H94" t="str" cm="1">
        <f t="array" ref="H94">GetColumnName(C94,IF(B94=B93,H93,""))</f>
        <v>Description</v>
      </c>
      <c r="I94" t="str">
        <f>H94</f>
        <v>Description</v>
      </c>
      <c r="J94" t="str">
        <f>H94</f>
        <v>Description</v>
      </c>
      <c r="K94" t="b">
        <v>1</v>
      </c>
      <c r="L94" t="b">
        <v>0</v>
      </c>
      <c r="M94" t="b">
        <v>0</v>
      </c>
      <c r="N94" t="b">
        <v>0</v>
      </c>
      <c r="O94" t="b">
        <v>1</v>
      </c>
      <c r="P94" t="b">
        <v>1</v>
      </c>
      <c r="Q94" t="b">
        <v>0</v>
      </c>
      <c r="R94" t="b">
        <v>0</v>
      </c>
      <c r="S94" t="b">
        <v>0</v>
      </c>
      <c r="T94" t="b">
        <v>0</v>
      </c>
    </row>
    <row r="95">
      <c r="A95">
        <f>ROW(A95)-1</f>
        <v>94</v>
      </c>
      <c r="B95">
        <v>14</v>
      </c>
      <c r="C95" t="str" cm="1">
        <f t="array" ref="C95">GetValue("Tbl","Alias",B95)</f>
        <v>Sys</v>
      </c>
      <c r="D95">
        <v>11</v>
      </c>
      <c r="E95" t="str" cm="1">
        <f t="array" ref="E95">GetValue("Dmn","Name",D95)</f>
        <v>NVARCHAR(50)</v>
      </c>
      <c r="F95" t="str" cm="1">
        <f t="array" ref="F95">GetValue("Dmn","#CategoryName",D95)</f>
        <v>string</v>
      </c>
      <c r="G95">
        <f>IF(H95="Id",5,G94+5)</f>
        <v>30</v>
      </c>
      <c r="H95" t="str" cm="1">
        <f t="array" ref="H95">GetColumnName(C95,IF(B95=B94,H94,""))</f>
        <v>MaxRetryLogins</v>
      </c>
      <c r="I95" t="str">
        <f>H95</f>
        <v>MaxRetryLogins</v>
      </c>
      <c r="J95" t="str">
        <f>H95</f>
        <v>MaxRetryLogins</v>
      </c>
      <c r="K95" t="b">
        <v>1</v>
      </c>
      <c r="L95" t="b">
        <v>0</v>
      </c>
      <c r="M95" t="b">
        <v>0</v>
      </c>
      <c r="N95" t="b">
        <v>0</v>
      </c>
      <c r="O95" t="b">
        <v>1</v>
      </c>
      <c r="P95" t="b">
        <v>1</v>
      </c>
      <c r="Q95" t="b">
        <v>0</v>
      </c>
      <c r="R95" t="b">
        <v>0</v>
      </c>
      <c r="S95" t="b">
        <v>0</v>
      </c>
      <c r="T95" t="b">
        <v>0</v>
      </c>
    </row>
    <row r="96">
      <c r="A96">
        <f>ROW(A96)-1</f>
        <v>95</v>
      </c>
      <c r="B96">
        <v>14</v>
      </c>
      <c r="C96" t="str" cm="1">
        <f t="array" ref="C96">GetValue("Tbl","Alias",B96)</f>
        <v>Sys</v>
      </c>
      <c r="D96">
        <v>5</v>
      </c>
      <c r="E96" t="str" cm="1">
        <f t="array" ref="E96">GetValue("Dmn","Name",D96)</f>
        <v>TinyInteger</v>
      </c>
      <c r="F96" t="str" cm="1">
        <f t="array" ref="F96">GetValue("Dmn","#CategoryName",D96)</f>
        <v>number</v>
      </c>
      <c r="G96">
        <f>IF(H96="Id",5,G95+5)</f>
        <v>35</v>
      </c>
      <c r="H96" t="str" cm="1">
        <f t="array" ref="H96">GetColumnName(C96,IF(B96=B95,H95,""))</f>
        <v>IsActive</v>
      </c>
      <c r="I96" t="str">
        <f>H96</f>
        <v>IsActive</v>
      </c>
      <c r="J96" t="str">
        <f>H96</f>
        <v>IsActive</v>
      </c>
      <c r="K96" t="b">
        <v>0</v>
      </c>
      <c r="L96" t="b">
        <v>0</v>
      </c>
      <c r="M96" t="b">
        <v>0</v>
      </c>
      <c r="N96" t="b">
        <v>1</v>
      </c>
      <c r="O96" t="b">
        <v>1</v>
      </c>
      <c r="P96" t="b">
        <v>1</v>
      </c>
      <c r="Q96" t="b">
        <v>0</v>
      </c>
      <c r="R96" t="b">
        <v>0</v>
      </c>
      <c r="S96" t="b">
        <v>0</v>
      </c>
      <c r="T96" t="b">
        <v>0</v>
      </c>
    </row>
    <row r="97">
      <c r="A97">
        <f>ROW(A97)-1</f>
        <v>96</v>
      </c>
      <c r="B97">
        <v>15</v>
      </c>
      <c r="C97" t="str" cm="1">
        <f t="array" ref="C97">GetValue("Tbl","Alias",B97)</f>
        <v>Mnu</v>
      </c>
      <c r="D97">
        <v>1</v>
      </c>
      <c r="E97" t="str" cm="1">
        <f t="array" ref="E97">GetValue("Dmn","Name",D97)</f>
        <v>BigInteger</v>
      </c>
      <c r="F97" t="str" cm="1">
        <f t="array" ref="F97">GetValue("Dmn","#CategoryName",D97)</f>
        <v>number</v>
      </c>
      <c r="G97">
        <f>IF(H97="Id",5,G96+5)</f>
        <v>5</v>
      </c>
      <c r="H97" t="str" cm="1">
        <f t="array" ref="H97">GetColumnName(C97,IF(B97=B96,H96,""))</f>
        <v>Id</v>
      </c>
      <c r="I97" t="str">
        <f>H97</f>
        <v>Id</v>
      </c>
      <c r="J97" t="str">
        <f>H97</f>
        <v>Id</v>
      </c>
      <c r="K97" t="b">
        <v>1</v>
      </c>
      <c r="L97" t="b">
        <v>1</v>
      </c>
      <c r="M97" t="b">
        <v>1</v>
      </c>
      <c r="N97" t="b">
        <v>1</v>
      </c>
      <c r="O97" t="b">
        <v>0</v>
      </c>
      <c r="P97" t="b">
        <v>0</v>
      </c>
      <c r="Q97" t="b">
        <v>0</v>
      </c>
      <c r="R97" t="b">
        <v>0</v>
      </c>
      <c r="S97" t="b">
        <v>0</v>
      </c>
      <c r="T97" t="b">
        <v>0</v>
      </c>
    </row>
    <row r="98">
      <c r="A98">
        <f>ROW(A98)-1</f>
        <v>97</v>
      </c>
      <c r="B98">
        <v>15</v>
      </c>
      <c r="C98" t="str" cm="1">
        <f t="array" ref="C98">GetValue("Tbl","Alias",B98)</f>
        <v>Mnu</v>
      </c>
      <c r="D98">
        <v>1</v>
      </c>
      <c r="E98" t="str" cm="1">
        <f t="array" ref="E98">GetValue("Dmn","Name",D98)</f>
        <v>BigInteger</v>
      </c>
      <c r="F98" t="str" cm="1">
        <f t="array" ref="F98">GetValue("Dmn","#CategoryName",D98)</f>
        <v>number</v>
      </c>
      <c r="G98">
        <f>IF(H98="Id",5,G97+5)</f>
        <v>10</v>
      </c>
      <c r="H98" t="str" cm="1">
        <f t="array" ref="H98">GetColumnName(C98,IF(B98=B97,H97,""))</f>
        <v>SystemId</v>
      </c>
      <c r="I98" t="str">
        <f>H98</f>
        <v>SystemId</v>
      </c>
      <c r="J98" t="str">
        <f>H98</f>
        <v>SystemId</v>
      </c>
      <c r="K98" t="b">
        <v>1</v>
      </c>
      <c r="L98" t="b">
        <v>0</v>
      </c>
      <c r="M98" t="b">
        <v>0</v>
      </c>
      <c r="N98" t="b">
        <v>1</v>
      </c>
      <c r="O98" t="b">
        <v>1</v>
      </c>
      <c r="P98" t="b">
        <v>1</v>
      </c>
      <c r="Q98" t="b">
        <v>0</v>
      </c>
      <c r="R98" t="b">
        <v>0</v>
      </c>
      <c r="S98" t="b">
        <v>0</v>
      </c>
      <c r="T98" t="b">
        <v>0</v>
      </c>
    </row>
    <row r="99">
      <c r="A99">
        <f>ROW(A99)-1</f>
        <v>98</v>
      </c>
      <c r="B99">
        <v>15</v>
      </c>
      <c r="C99" t="str" cm="1">
        <f t="array" ref="C99">GetValue("Tbl","Alias",B99)</f>
        <v>Mnu</v>
      </c>
      <c r="D99">
        <v>1</v>
      </c>
      <c r="E99" t="str" cm="1">
        <f t="array" ref="E99">GetValue("Dmn","Name",D99)</f>
        <v>BigInteger</v>
      </c>
      <c r="F99" t="str" cm="1">
        <f t="array" ref="F99">GetValue("Dmn","#CategoryName",D99)</f>
        <v>number</v>
      </c>
      <c r="G99">
        <f>IF(H99="Id",5,G98+5)</f>
        <v>15</v>
      </c>
      <c r="H99" t="str" cm="1">
        <f t="array" ref="H99">GetColumnName(C99,IF(B99=B98,H98,""))</f>
        <v>ParentMenuId</v>
      </c>
      <c r="I99" t="str">
        <f>H99</f>
        <v>ParentMenuId</v>
      </c>
      <c r="J99" t="str">
        <f>H99</f>
        <v>ParentMenuId</v>
      </c>
      <c r="K99" t="b">
        <v>0</v>
      </c>
      <c r="L99" t="b">
        <v>0</v>
      </c>
      <c r="M99" t="b">
        <v>0</v>
      </c>
      <c r="N99" t="b">
        <v>0</v>
      </c>
      <c r="O99" t="b">
        <v>1</v>
      </c>
      <c r="P99" t="b">
        <v>0</v>
      </c>
      <c r="Q99" t="b">
        <v>0</v>
      </c>
      <c r="R99" t="b">
        <v>0</v>
      </c>
      <c r="S99" t="b">
        <v>0</v>
      </c>
      <c r="T99" t="b">
        <v>0</v>
      </c>
    </row>
    <row r="100">
      <c r="A100">
        <f>ROW(A100)-1</f>
        <v>99</v>
      </c>
      <c r="B100">
        <v>15</v>
      </c>
      <c r="C100" t="str" cm="1">
        <f t="array" ref="C100">GetValue("Tbl","Alias",B100)</f>
        <v>Mnu</v>
      </c>
      <c r="D100">
        <v>4</v>
      </c>
      <c r="E100" t="str" cm="1">
        <f t="array" ref="E100">GetValue("Dmn","Name",D100)</f>
        <v>SmallInteger</v>
      </c>
      <c r="F100" t="str" cm="1">
        <f t="array" ref="F100">GetValue("Dmn","#CategoryName",D100)</f>
        <v>number</v>
      </c>
      <c r="G100">
        <f>IF(H100="Id",5,G99+5)</f>
        <v>20</v>
      </c>
      <c r="H100" t="str" cm="1">
        <f t="array" ref="H100">GetColumnName(C100,IF(B100=B99,H99,""))</f>
        <v>Sequence</v>
      </c>
      <c r="I100" t="str">
        <f>H100</f>
        <v>Sequence</v>
      </c>
      <c r="J100" t="str">
        <f>H100</f>
        <v>Sequence</v>
      </c>
      <c r="K100" t="b">
        <v>1</v>
      </c>
      <c r="L100" t="b">
        <v>0</v>
      </c>
      <c r="M100" t="b">
        <v>0</v>
      </c>
      <c r="N100" t="b">
        <v>0</v>
      </c>
      <c r="O100" t="b">
        <v>1</v>
      </c>
      <c r="P100" t="b">
        <v>1</v>
      </c>
      <c r="Q100" t="b">
        <v>0</v>
      </c>
      <c r="R100" t="b">
        <v>0</v>
      </c>
      <c r="S100" t="b">
        <v>0</v>
      </c>
      <c r="T100" t="b">
        <v>0</v>
      </c>
    </row>
    <row r="101">
      <c r="A101">
        <f>ROW(A101)-1</f>
        <v>100</v>
      </c>
      <c r="B101">
        <v>15</v>
      </c>
      <c r="C101" t="str" cm="1">
        <f t="array" ref="C101">GetValue("Tbl","Alias",B101)</f>
        <v>Mnu</v>
      </c>
      <c r="D101">
        <v>11</v>
      </c>
      <c r="E101" t="str" cm="1">
        <f t="array" ref="E101">GetValue("Dmn","Name",D101)</f>
        <v>NVARCHAR(50)</v>
      </c>
      <c r="F101" t="str" cm="1">
        <f t="array" ref="F101">GetValue("Dmn","#CategoryName",D101)</f>
        <v>string</v>
      </c>
      <c r="G101">
        <f>IF(H101="Id",5,G100+5)</f>
        <v>25</v>
      </c>
      <c r="H101" t="str" cm="1">
        <f t="array" ref="H101">GetColumnName(C101,IF(B101=B100,H100,""))</f>
        <v>Caption</v>
      </c>
      <c r="I101" t="str">
        <f>H101</f>
        <v>Caption</v>
      </c>
      <c r="J101" t="str">
        <f>H101</f>
        <v>Caption</v>
      </c>
      <c r="K101" t="b">
        <v>1</v>
      </c>
      <c r="L101" t="b">
        <v>0</v>
      </c>
      <c r="M101" t="b">
        <v>0</v>
      </c>
      <c r="N101" t="b">
        <v>1</v>
      </c>
      <c r="O101" t="b">
        <v>1</v>
      </c>
      <c r="P101" t="b">
        <v>1</v>
      </c>
      <c r="Q101" t="b">
        <v>0</v>
      </c>
      <c r="R101" t="b">
        <v>0</v>
      </c>
      <c r="S101" t="b">
        <v>0</v>
      </c>
      <c r="T101" t="b">
        <v>0</v>
      </c>
    </row>
    <row r="102">
      <c r="A102">
        <f>ROW(A102)-1</f>
        <v>101</v>
      </c>
      <c r="B102">
        <v>15</v>
      </c>
      <c r="C102" t="str" cm="1">
        <f t="array" ref="C102">GetValue("Tbl","Alias",B102)</f>
        <v>Mnu</v>
      </c>
      <c r="D102">
        <v>1</v>
      </c>
      <c r="E102" t="str" cm="1">
        <f t="array" ref="E102">GetValue("Dmn","Name",D102)</f>
        <v>BigInteger</v>
      </c>
      <c r="F102" t="str" cm="1">
        <f t="array" ref="F102">GetValue("Dmn","#CategoryName",D102)</f>
        <v>number</v>
      </c>
      <c r="G102">
        <f>IF(H102="Id",5,G101+5)</f>
        <v>30</v>
      </c>
      <c r="H102" t="str" cm="1">
        <f t="array" ref="H102">GetColumnName(C102,IF(B102=B101,H101,""))</f>
        <v>Message</v>
      </c>
      <c r="I102" t="str">
        <f>H102</f>
        <v>Message</v>
      </c>
      <c r="J102" t="str">
        <f>H102</f>
        <v>Message</v>
      </c>
      <c r="K102" t="b">
        <v>1</v>
      </c>
      <c r="L102" t="b">
        <v>0</v>
      </c>
      <c r="M102" t="b">
        <v>0</v>
      </c>
      <c r="N102" t="b">
        <v>0</v>
      </c>
      <c r="O102" t="b">
        <v>1</v>
      </c>
      <c r="P102" t="b">
        <v>1</v>
      </c>
      <c r="Q102" t="b">
        <v>0</v>
      </c>
      <c r="R102" t="b">
        <v>0</v>
      </c>
      <c r="S102" t="b">
        <v>0</v>
      </c>
      <c r="T102" t="b">
        <v>0</v>
      </c>
    </row>
    <row r="103">
      <c r="A103">
        <f>ROW(A103)-1</f>
        <v>102</v>
      </c>
      <c r="B103">
        <v>15</v>
      </c>
      <c r="C103" t="str" cm="1">
        <f t="array" ref="C103">GetValue("Tbl","Alias",B103)</f>
        <v>Mnu</v>
      </c>
      <c r="D103">
        <v>6</v>
      </c>
      <c r="E103" t="str" cm="1">
        <f t="array" ref="E103">GetValue("Dmn","Name",D103)</f>
        <v>Boolean</v>
      </c>
      <c r="F103" t="str" cm="1">
        <f t="array" ref="F103">GetValue("Dmn","#CategoryName",D103)</f>
        <v>boolean</v>
      </c>
      <c r="G103">
        <f>IF(H103="Id",5,G102+5)</f>
        <v>35</v>
      </c>
      <c r="H103" t="str" cm="1">
        <f t="array" ref="H103">GetColumnName(C103,IF(B103=B102,H102,""))</f>
        <v>Action</v>
      </c>
      <c r="I103" t="str">
        <f>H103</f>
        <v>Action</v>
      </c>
      <c r="J103" t="str">
        <f>H103</f>
        <v>Action</v>
      </c>
      <c r="K103" t="b">
        <v>0</v>
      </c>
      <c r="L103" t="b">
        <v>0</v>
      </c>
      <c r="M103" t="b">
        <v>0</v>
      </c>
      <c r="N103" t="b">
        <v>0</v>
      </c>
      <c r="O103" t="b">
        <v>1</v>
      </c>
      <c r="P103" t="b">
        <v>1</v>
      </c>
      <c r="Q103" t="b">
        <v>0</v>
      </c>
      <c r="R103" t="b">
        <v>0</v>
      </c>
      <c r="S103" t="b">
        <v>0</v>
      </c>
      <c r="T103" t="b">
        <v>0</v>
      </c>
    </row>
    <row r="104">
      <c r="A104">
        <f>ROW(A104)-1</f>
        <v>103</v>
      </c>
      <c r="B104">
        <v>15</v>
      </c>
      <c r="C104" t="str" cm="1">
        <f t="array" ref="C104">GetValue("Tbl","Alias",B104)</f>
        <v>Mnu</v>
      </c>
      <c r="D104">
        <v>1</v>
      </c>
      <c r="E104" t="str" cm="1">
        <f t="array" ref="E104">GetValue("Dmn","Name",D104)</f>
        <v>BigInteger</v>
      </c>
      <c r="F104" t="str" cm="1">
        <f t="array" ref="F104">GetValue("Dmn","#CategoryName",D104)</f>
        <v>number</v>
      </c>
      <c r="G104">
        <f>IF(H104="Id",5,G103+5)</f>
        <v>40</v>
      </c>
      <c r="H104" t="str" cm="1">
        <f t="array" ref="H104">GetColumnName(C104,IF(B104=B103,H103,""))</f>
        <v>IsActive</v>
      </c>
      <c r="I104" t="str">
        <f>H104</f>
        <v>IsActive</v>
      </c>
      <c r="J104" t="str">
        <f>H104</f>
        <v>IsActive</v>
      </c>
      <c r="K104" t="b">
        <v>1</v>
      </c>
      <c r="L104" t="b">
        <v>0</v>
      </c>
      <c r="M104" t="b">
        <v>0</v>
      </c>
      <c r="N104" t="b">
        <v>1</v>
      </c>
      <c r="O104" t="b">
        <v>0</v>
      </c>
      <c r="P104" t="b">
        <v>0</v>
      </c>
      <c r="Q104" t="b">
        <v>0</v>
      </c>
      <c r="R104" t="b">
        <v>0</v>
      </c>
      <c r="S104" t="b">
        <v>0</v>
      </c>
      <c r="T104" t="b">
        <v>0</v>
      </c>
    </row>
    <row r="105">
      <c r="A105">
        <f>ROW(A105)-1</f>
        <v>104</v>
      </c>
      <c r="B105">
        <v>16</v>
      </c>
      <c r="C105" t="str" cm="1">
        <f t="array" ref="C105">GetValue("Tbl","Alias",B105)</f>
        <v>Tbl</v>
      </c>
      <c r="D105">
        <v>1</v>
      </c>
      <c r="E105" t="str" cm="1">
        <f t="array" ref="E105">GetValue("Dmn","Name",D105)</f>
        <v>BigInteger</v>
      </c>
      <c r="F105" t="str" cm="1">
        <f t="array" ref="F105">GetValue("Dmn","#CategoryName",D105)</f>
        <v>number</v>
      </c>
      <c r="G105">
        <f>IF(H105="Id",5,G104+5)</f>
        <v>5</v>
      </c>
      <c r="H105" t="str" cm="1">
        <f t="array" ref="H105">GetColumnName(C105,IF(B105=B104,H104,""))</f>
        <v>Id</v>
      </c>
      <c r="I105" t="str">
        <f>H105</f>
        <v>Id</v>
      </c>
      <c r="J105" t="str">
        <f>H105</f>
        <v>Id</v>
      </c>
      <c r="K105" t="b">
        <v>1</v>
      </c>
      <c r="L105" t="b">
        <v>1</v>
      </c>
      <c r="M105" t="b">
        <v>1</v>
      </c>
      <c r="N105" t="b">
        <v>1</v>
      </c>
      <c r="O105" t="b">
        <v>0</v>
      </c>
      <c r="P105" t="b">
        <v>0</v>
      </c>
      <c r="Q105" t="b">
        <v>0</v>
      </c>
      <c r="R105" t="b">
        <v>0</v>
      </c>
      <c r="S105" t="b">
        <v>0</v>
      </c>
      <c r="T105" t="b">
        <v>0</v>
      </c>
    </row>
    <row r="106">
      <c r="A106">
        <f>ROW(A106)-1</f>
        <v>105</v>
      </c>
      <c r="B106">
        <v>16</v>
      </c>
      <c r="C106" t="str" cm="1">
        <f t="array" ref="C106">GetValue("Tbl","Alias",B106)</f>
        <v>Tbl</v>
      </c>
      <c r="D106">
        <v>1</v>
      </c>
      <c r="E106" t="str" cm="1">
        <f t="array" ref="E106">GetValue("Dmn","Name",D106)</f>
        <v>BigInteger</v>
      </c>
      <c r="F106" t="str" cm="1">
        <f t="array" ref="F106">GetValue("Dmn","#CategoryName",D106)</f>
        <v>number</v>
      </c>
      <c r="G106">
        <f>IF(H106="Id",5,G105+5)</f>
        <v>10</v>
      </c>
      <c r="H106" t="str" cm="1">
        <f t="array" ref="H106">GetColumnName(C106,IF(B106=B105,H105,""))</f>
        <v>DatabaseId</v>
      </c>
      <c r="I106" t="str">
        <f>H106</f>
        <v>DatabaseId</v>
      </c>
      <c r="J106" t="str">
        <f>H106</f>
        <v>DatabaseId</v>
      </c>
      <c r="K106" t="b">
        <v>1</v>
      </c>
      <c r="L106" t="b">
        <v>0</v>
      </c>
      <c r="M106" t="b">
        <v>0</v>
      </c>
      <c r="N106" t="b">
        <v>1</v>
      </c>
      <c r="O106" t="b">
        <v>1</v>
      </c>
      <c r="P106" t="b">
        <v>1</v>
      </c>
      <c r="Q106" t="b">
        <v>0</v>
      </c>
      <c r="R106" t="b">
        <v>0</v>
      </c>
      <c r="S106" t="b">
        <v>0</v>
      </c>
      <c r="T106" t="b">
        <v>0</v>
      </c>
    </row>
    <row r="107">
      <c r="A107">
        <f>ROW(A107)-1</f>
        <v>106</v>
      </c>
      <c r="B107">
        <v>16</v>
      </c>
      <c r="C107" t="str" cm="1">
        <f t="array" ref="C107">GetValue("Tbl","Alias",B107)</f>
        <v>Tbl</v>
      </c>
      <c r="D107">
        <v>10</v>
      </c>
      <c r="E107" t="str" cm="1">
        <f t="array" ref="E107">GetValue("Dmn","Name",D107)</f>
        <v>NVARCHAR(25)</v>
      </c>
      <c r="F107" t="str" cm="1">
        <f t="array" ref="F107">GetValue("Dmn","#CategoryName",D107)</f>
        <v>string</v>
      </c>
      <c r="G107">
        <f>IF(H107="Id",5,G106+5)</f>
        <v>15</v>
      </c>
      <c r="H107" t="str" cm="1">
        <f t="array" ref="H107">GetColumnName(C107,IF(B107=B106,H106,""))</f>
        <v>Name</v>
      </c>
      <c r="I107" t="str">
        <f>H107</f>
        <v>Name</v>
      </c>
      <c r="J107" t="str">
        <f>H107</f>
        <v>Name</v>
      </c>
      <c r="K107" t="b">
        <v>1</v>
      </c>
      <c r="L107" t="b">
        <v>0</v>
      </c>
      <c r="M107" t="b">
        <v>0</v>
      </c>
      <c r="N107" t="b">
        <v>1</v>
      </c>
      <c r="O107" t="b">
        <v>1</v>
      </c>
      <c r="P107" t="b">
        <v>1</v>
      </c>
      <c r="Q107" t="b">
        <v>1</v>
      </c>
      <c r="R107" t="b">
        <v>0</v>
      </c>
      <c r="S107" t="b">
        <v>0</v>
      </c>
      <c r="T107" t="b">
        <v>0</v>
      </c>
    </row>
    <row r="108">
      <c r="A108">
        <f>ROW(A108)-1</f>
        <v>107</v>
      </c>
      <c r="B108">
        <v>16</v>
      </c>
      <c r="C108" t="str" cm="1">
        <f t="array" ref="C108">GetValue("Tbl","Alias",B108)</f>
        <v>Tbl</v>
      </c>
      <c r="D108">
        <v>9</v>
      </c>
      <c r="E108" t="str" cm="1">
        <f t="array" ref="E108">GetValue("Dmn","Name",D108)</f>
        <v>NVARCHAR(20)</v>
      </c>
      <c r="F108" t="str" cm="1">
        <f t="array" ref="F108">GetValue("Dmn","#CategoryName",D108)</f>
        <v>string</v>
      </c>
      <c r="G108">
        <f>IF(H108="Id",5,G107+5)</f>
        <v>20</v>
      </c>
      <c r="H108" t="str" cm="1">
        <f t="array" ref="H108">GetColumnName(C108,IF(B108=B107,H107,""))</f>
        <v>Alias</v>
      </c>
      <c r="I108" t="str">
        <f>H108</f>
        <v>Alias</v>
      </c>
      <c r="J108" t="str">
        <f>H108</f>
        <v>Alias</v>
      </c>
      <c r="K108" t="b">
        <v>1</v>
      </c>
      <c r="L108" t="b">
        <v>0</v>
      </c>
      <c r="M108" t="b">
        <v>0</v>
      </c>
      <c r="N108" t="b">
        <v>1</v>
      </c>
      <c r="O108" t="b">
        <v>1</v>
      </c>
      <c r="P108" t="b">
        <v>1</v>
      </c>
      <c r="Q108" t="b">
        <v>0</v>
      </c>
      <c r="R108" t="b">
        <v>0</v>
      </c>
      <c r="S108" t="b">
        <v>0</v>
      </c>
      <c r="T108" t="b">
        <v>0</v>
      </c>
    </row>
    <row r="109">
      <c r="A109">
        <f>ROW(A109)-1</f>
        <v>108</v>
      </c>
      <c r="B109">
        <v>16</v>
      </c>
      <c r="C109" t="str" cm="1">
        <f t="array" ref="C109">GetValue("Tbl","Alias",B109)</f>
        <v>Tbl</v>
      </c>
      <c r="D109">
        <v>11</v>
      </c>
      <c r="E109" t="str" cm="1">
        <f t="array" ref="E109">GetValue("Dmn","Name",D109)</f>
        <v>NVARCHAR(50)</v>
      </c>
      <c r="F109" t="str" cm="1">
        <f t="array" ref="F109">GetValue("Dmn","#CategoryName",D109)</f>
        <v>string</v>
      </c>
      <c r="G109">
        <f>IF(H109="Id",5,G108+5)</f>
        <v>25</v>
      </c>
      <c r="H109" t="str" cm="1">
        <f t="array" ref="H109">GetColumnName(C109,IF(B109=B108,H108,""))</f>
        <v>Description</v>
      </c>
      <c r="I109" t="str">
        <f>H109</f>
        <v>Description</v>
      </c>
      <c r="J109" t="str">
        <f>H109</f>
        <v>Description</v>
      </c>
      <c r="K109" t="b">
        <v>1</v>
      </c>
      <c r="L109" t="b">
        <v>0</v>
      </c>
      <c r="M109" t="b">
        <v>0</v>
      </c>
      <c r="N109" t="b">
        <v>0</v>
      </c>
      <c r="O109" t="b">
        <v>1</v>
      </c>
      <c r="P109" t="b">
        <v>1</v>
      </c>
      <c r="Q109" t="b">
        <v>0</v>
      </c>
      <c r="R109" t="b">
        <v>0</v>
      </c>
      <c r="S109" t="b">
        <v>0</v>
      </c>
      <c r="T109" t="b">
        <v>0</v>
      </c>
    </row>
    <row r="110">
      <c r="A110">
        <f>ROW(A110)-1</f>
        <v>109</v>
      </c>
      <c r="B110">
        <v>16</v>
      </c>
      <c r="C110" t="str" cm="1">
        <f t="array" ref="C110">GetValue("Tbl","Alias",B110)</f>
        <v>Tbl</v>
      </c>
      <c r="D110">
        <v>1</v>
      </c>
      <c r="E110" t="str" cm="1">
        <f t="array" ref="E110">GetValue("Dmn","Name",D110)</f>
        <v>BigInteger</v>
      </c>
      <c r="F110" t="str" cm="1">
        <f t="array" ref="F110">GetValue("Dmn","#CategoryName",D110)</f>
        <v>number</v>
      </c>
      <c r="G110">
        <f>IF(H110="Id",5,G109+5)</f>
        <v>30</v>
      </c>
      <c r="H110" t="str" cm="1">
        <f t="array" ref="H110">GetColumnName(C110,IF(B110=B109,H109,""))</f>
        <v>CurrentId</v>
      </c>
      <c r="I110" t="str">
        <f>H110</f>
        <v>CurrentId</v>
      </c>
      <c r="J110" t="str">
        <f>H110</f>
        <v>CurrentId</v>
      </c>
      <c r="K110" t="b">
        <v>1</v>
      </c>
      <c r="L110" t="b">
        <v>0</v>
      </c>
      <c r="M110" t="b">
        <v>0</v>
      </c>
      <c r="N110" t="b">
        <v>0</v>
      </c>
      <c r="O110" t="b">
        <v>0</v>
      </c>
      <c r="P110" t="b">
        <v>0</v>
      </c>
      <c r="Q110" t="b">
        <v>0</v>
      </c>
      <c r="R110" t="b">
        <v>0</v>
      </c>
      <c r="S110" t="b">
        <v>0</v>
      </c>
      <c r="T110" t="b">
        <v>0</v>
      </c>
    </row>
    <row r="111">
      <c r="A111">
        <f>ROW(A111)-1</f>
        <v>110</v>
      </c>
      <c r="B111">
        <v>17</v>
      </c>
      <c r="C111" t="str" cm="1">
        <f t="array" ref="C111">GetValue("Tbl","Alias",B111)</f>
        <v>Col</v>
      </c>
      <c r="D111">
        <v>1</v>
      </c>
      <c r="E111" t="str" cm="1">
        <f t="array" ref="E111">GetValue("Dmn","Name",D111)</f>
        <v>BigInteger</v>
      </c>
      <c r="F111" t="str" cm="1">
        <f t="array" ref="F111">GetValue("Dmn","#CategoryName",D111)</f>
        <v>number</v>
      </c>
      <c r="G111">
        <f>IF(H111="Id",5,G110+5)</f>
        <v>5</v>
      </c>
      <c r="H111" t="str" cm="1">
        <f t="array" ref="H111">GetColumnName(C111,IF(B111=B110,H110,""))</f>
        <v>Id</v>
      </c>
      <c r="I111" t="str">
        <f>H111</f>
        <v>Id</v>
      </c>
      <c r="J111" t="str">
        <f>H111</f>
        <v>Id</v>
      </c>
      <c r="K111" t="b">
        <v>1</v>
      </c>
      <c r="L111" t="b">
        <v>1</v>
      </c>
      <c r="M111" t="b">
        <v>1</v>
      </c>
      <c r="N111" t="b">
        <v>1</v>
      </c>
      <c r="O111" t="b">
        <v>0</v>
      </c>
      <c r="P111" t="b">
        <v>0</v>
      </c>
      <c r="Q111" t="b">
        <v>0</v>
      </c>
      <c r="R111" t="b">
        <v>0</v>
      </c>
      <c r="S111" t="b">
        <v>0</v>
      </c>
      <c r="T111" t="b">
        <v>0</v>
      </c>
    </row>
    <row r="112">
      <c r="A112">
        <f>ROW(A112)-1</f>
        <v>111</v>
      </c>
      <c r="B112">
        <v>17</v>
      </c>
      <c r="C112" t="str" cm="1">
        <f t="array" ref="C112">GetValue("Tbl","Alias",B112)</f>
        <v>Col</v>
      </c>
      <c r="D112">
        <v>2</v>
      </c>
      <c r="E112" t="str" cm="1">
        <f t="array" ref="E112">GetValue("Dmn","Name",D112)</f>
        <v>Integer</v>
      </c>
      <c r="F112" t="str" cm="1">
        <f t="array" ref="F112">GetValue("Dmn","#CategoryName",D112)</f>
        <v>number</v>
      </c>
      <c r="G112">
        <f>IF(H112="Id",5,G111+5)</f>
        <v>10</v>
      </c>
      <c r="H112" t="str" cm="1">
        <f t="array" ref="H112">GetColumnName(C112,IF(B112=B111,H111,""))</f>
        <v>TableId</v>
      </c>
      <c r="I112" t="str">
        <f>H112</f>
        <v>TableId</v>
      </c>
      <c r="J112" t="str">
        <f>H112</f>
        <v>TableId</v>
      </c>
      <c r="K112" t="b">
        <v>1</v>
      </c>
      <c r="L112" t="b">
        <v>0</v>
      </c>
      <c r="M112" t="b">
        <v>0</v>
      </c>
      <c r="N112" t="b">
        <v>1</v>
      </c>
      <c r="O112" t="b">
        <v>1</v>
      </c>
      <c r="P112" t="b">
        <v>1</v>
      </c>
      <c r="Q112" t="b">
        <v>0</v>
      </c>
      <c r="R112" t="b">
        <v>0</v>
      </c>
      <c r="S112" t="b">
        <v>0</v>
      </c>
      <c r="T112" t="b">
        <v>0</v>
      </c>
    </row>
    <row r="113">
      <c r="A113">
        <f>ROW(A113)-1</f>
        <v>112</v>
      </c>
      <c r="B113">
        <v>17</v>
      </c>
      <c r="C113" t="str" cm="1">
        <f t="array" ref="C113">GetValue("Tbl","Alias",B113)</f>
        <v>Col</v>
      </c>
      <c r="D113">
        <v>1</v>
      </c>
      <c r="E113" t="str" cm="1">
        <f t="array" ref="E113">GetValue("Dmn","Name",D113)</f>
        <v>BigInteger</v>
      </c>
      <c r="F113" t="str" cm="1">
        <f t="array" ref="F113">GetValue("Dmn","#CategoryName",D113)</f>
        <v>number</v>
      </c>
      <c r="G113">
        <f>IF(H113="Id",5,G112+5)</f>
        <v>15</v>
      </c>
      <c r="H113" t="str" cm="1">
        <f t="array" ref="H113">GetColumnName(C113,IF(B113=B112,H112,""))</f>
        <v>DomainId</v>
      </c>
      <c r="I113" t="str">
        <f>H113</f>
        <v>DomainId</v>
      </c>
      <c r="J113" t="str">
        <f>H113</f>
        <v>DomainId</v>
      </c>
      <c r="K113" t="b">
        <v>1</v>
      </c>
      <c r="L113" t="b">
        <v>0</v>
      </c>
      <c r="M113" t="b">
        <v>0</v>
      </c>
      <c r="N113" t="b">
        <v>1</v>
      </c>
      <c r="O113" t="b">
        <v>1</v>
      </c>
      <c r="P113" t="b">
        <v>1</v>
      </c>
      <c r="Q113" t="b">
        <v>0</v>
      </c>
      <c r="R113" t="b">
        <v>0</v>
      </c>
      <c r="S113" t="b">
        <v>0</v>
      </c>
      <c r="T113" t="b">
        <v>0</v>
      </c>
    </row>
    <row r="114">
      <c r="A114">
        <f>ROW(A114)-1</f>
        <v>113</v>
      </c>
      <c r="B114">
        <v>17</v>
      </c>
      <c r="C114" t="str" cm="1">
        <f t="array" ref="C114">GetValue("Tbl","Alias",B114)</f>
        <v>Col</v>
      </c>
      <c r="D114">
        <v>4</v>
      </c>
      <c r="E114" t="str" cm="1">
        <f t="array" ref="E114">GetValue("Dmn","Name",D114)</f>
        <v>SmallInteger</v>
      </c>
      <c r="F114" t="str" cm="1">
        <f t="array" ref="F114">GetValue("Dmn","#CategoryName",D114)</f>
        <v>number</v>
      </c>
      <c r="G114">
        <f>IF(H114="Id",5,G113+5)</f>
        <v>20</v>
      </c>
      <c r="H114" t="str" cm="1">
        <f t="array" ref="H114">GetColumnName(C114,IF(B114=B113,H113,""))</f>
        <v>Sequence</v>
      </c>
      <c r="I114" t="str">
        <f>H114</f>
        <v>Sequence</v>
      </c>
      <c r="J114" t="str">
        <f>H114</f>
        <v>Sequence</v>
      </c>
      <c r="K114" t="b">
        <v>1</v>
      </c>
      <c r="L114" t="b">
        <v>0</v>
      </c>
      <c r="M114" t="b">
        <v>0</v>
      </c>
      <c r="N114" t="b">
        <v>1</v>
      </c>
      <c r="O114" t="b">
        <v>0</v>
      </c>
      <c r="P114" t="b">
        <v>0</v>
      </c>
      <c r="Q114" t="b">
        <v>0</v>
      </c>
      <c r="R114" t="b">
        <v>0</v>
      </c>
      <c r="S114" t="b">
        <v>0</v>
      </c>
      <c r="T114" t="b">
        <v>0</v>
      </c>
    </row>
    <row r="115">
      <c r="A115">
        <f>ROW(A115)-1</f>
        <v>114</v>
      </c>
      <c r="B115">
        <v>17</v>
      </c>
      <c r="C115" t="str" cm="1">
        <f t="array" ref="C115">GetValue("Tbl","Alias",B115)</f>
        <v>Col</v>
      </c>
      <c r="D115">
        <v>10</v>
      </c>
      <c r="E115" t="str" cm="1">
        <f t="array" ref="E115">GetValue("Dmn","Name",D115)</f>
        <v>NVARCHAR(25)</v>
      </c>
      <c r="F115" t="str" cm="1">
        <f t="array" ref="F115">GetValue("Dmn","#CategoryName",D115)</f>
        <v>string</v>
      </c>
      <c r="G115">
        <f>IF(H115="Id",5,G114+5)</f>
        <v>25</v>
      </c>
      <c r="H115" t="str" cm="1">
        <f t="array" ref="H115">GetColumnName(C115,IF(B115=B114,H114,""))</f>
        <v>Name</v>
      </c>
      <c r="I115" t="str">
        <f>H115</f>
        <v>Name</v>
      </c>
      <c r="J115" t="str">
        <f>H115</f>
        <v>Name</v>
      </c>
      <c r="K115" t="b">
        <v>1</v>
      </c>
      <c r="L115" t="b">
        <v>0</v>
      </c>
      <c r="M115" t="b">
        <v>0</v>
      </c>
      <c r="N115" t="b">
        <v>1</v>
      </c>
      <c r="O115" t="b">
        <v>1</v>
      </c>
      <c r="P115" t="b">
        <v>1</v>
      </c>
      <c r="Q115" t="b">
        <v>1</v>
      </c>
      <c r="R115" t="b">
        <v>0</v>
      </c>
      <c r="S115" t="b">
        <v>0</v>
      </c>
      <c r="T115" t="b">
        <v>0</v>
      </c>
    </row>
    <row r="116">
      <c r="A116">
        <f>ROW(A116)-1</f>
        <v>115</v>
      </c>
      <c r="B116">
        <v>17</v>
      </c>
      <c r="C116" t="str" cm="1">
        <f t="array" ref="C116">GetValue("Tbl","Alias",B116)</f>
        <v>Col</v>
      </c>
      <c r="D116">
        <v>11</v>
      </c>
      <c r="E116" t="str" cm="1">
        <f t="array" ref="E116">GetValue("Dmn","Name",D116)</f>
        <v>NVARCHAR(50)</v>
      </c>
      <c r="F116" t="str" cm="1">
        <f t="array" ref="F116">GetValue("Dmn","#CategoryName",D116)</f>
        <v>string</v>
      </c>
      <c r="G116">
        <f>IF(H116="Id",5,G115+5)</f>
        <v>30</v>
      </c>
      <c r="H116" t="str" cm="1">
        <f t="array" ref="H116">GetColumnName(C116,IF(B116=B115,H115,""))</f>
        <v>Description</v>
      </c>
      <c r="I116" t="str">
        <f>H116</f>
        <v>Description</v>
      </c>
      <c r="J116" t="str">
        <f>H116</f>
        <v>Description</v>
      </c>
      <c r="K116" t="b">
        <v>1</v>
      </c>
      <c r="L116" t="b">
        <v>0</v>
      </c>
      <c r="M116" t="b">
        <v>0</v>
      </c>
      <c r="N116" t="b">
        <v>0</v>
      </c>
      <c r="O116" t="b">
        <v>1</v>
      </c>
      <c r="P116" t="b">
        <v>1</v>
      </c>
      <c r="Q116" t="b">
        <v>0</v>
      </c>
      <c r="R116" t="b">
        <v>0</v>
      </c>
      <c r="S116" t="b">
        <v>0</v>
      </c>
      <c r="T116" t="b">
        <v>0</v>
      </c>
    </row>
    <row r="117">
      <c r="A117">
        <f>ROW(A117)-1</f>
        <v>116</v>
      </c>
      <c r="B117">
        <v>17</v>
      </c>
      <c r="C117" t="str" cm="1">
        <f t="array" ref="C117">GetValue("Tbl","Alias",B117)</f>
        <v>Col</v>
      </c>
      <c r="D117">
        <v>9</v>
      </c>
      <c r="E117" t="str" cm="1">
        <f t="array" ref="E117">GetValue("Dmn","Name",D117)</f>
        <v>NVARCHAR(20)</v>
      </c>
      <c r="F117" t="str" cm="1">
        <f t="array" ref="F117">GetValue("Dmn","#CategoryName",D117)</f>
        <v>string</v>
      </c>
      <c r="G117">
        <f>IF(H117="Id",5,G116+5)</f>
        <v>35</v>
      </c>
      <c r="H117" t="str" cm="1">
        <f t="array" ref="H117">GetColumnName(C117,IF(B117=B116,H116,""))</f>
        <v>Caption</v>
      </c>
      <c r="I117" t="str">
        <f>H117</f>
        <v>Caption</v>
      </c>
      <c r="J117" t="str">
        <f>H117</f>
        <v>Caption</v>
      </c>
      <c r="K117" t="b">
        <v>1</v>
      </c>
      <c r="L117" t="b">
        <v>0</v>
      </c>
      <c r="M117" t="b">
        <v>0</v>
      </c>
      <c r="N117" t="b">
        <v>0</v>
      </c>
      <c r="O117" t="b">
        <v>1</v>
      </c>
      <c r="P117" t="b">
        <v>1</v>
      </c>
      <c r="Q117" t="b">
        <v>0</v>
      </c>
      <c r="R117" t="b">
        <v>0</v>
      </c>
      <c r="S117" t="b">
        <v>0</v>
      </c>
      <c r="T117" t="b">
        <v>0</v>
      </c>
    </row>
    <row r="118">
      <c r="A118">
        <f>ROW(A118)-1</f>
        <v>117</v>
      </c>
      <c r="B118">
        <v>17</v>
      </c>
      <c r="C118" t="str" cm="1">
        <f t="array" ref="C118">GetValue("Tbl","Alias",B118)</f>
        <v>Col</v>
      </c>
      <c r="D118">
        <v>6</v>
      </c>
      <c r="E118" t="str" cm="1">
        <f t="array" ref="E118">GetValue("Dmn","Name",D118)</f>
        <v>Boolean</v>
      </c>
      <c r="F118" t="str" cm="1">
        <f t="array" ref="F118">GetValue("Dmn","#CategoryName",D118)</f>
        <v>boolean</v>
      </c>
      <c r="G118">
        <f>IF(H118="Id",5,G117+5)</f>
        <v>40</v>
      </c>
      <c r="H118" t="str" cm="1">
        <f t="array" ref="H118">GetColumnName(C118,IF(B118=B117,H117,""))</f>
        <v>IsRequired</v>
      </c>
      <c r="I118" t="str">
        <f>H118</f>
        <v>IsRequired</v>
      </c>
      <c r="J118" t="str">
        <f>H118</f>
        <v>IsRequired</v>
      </c>
      <c r="K118" t="b">
        <v>1</v>
      </c>
      <c r="L118" t="b">
        <v>0</v>
      </c>
      <c r="M118" t="b">
        <v>0</v>
      </c>
      <c r="N118" t="b">
        <v>1</v>
      </c>
      <c r="O118" t="b">
        <v>1</v>
      </c>
      <c r="P118" t="b">
        <v>0</v>
      </c>
      <c r="Q118" t="b">
        <v>0</v>
      </c>
      <c r="R118" t="b">
        <v>0</v>
      </c>
      <c r="S118" t="b">
        <v>0</v>
      </c>
      <c r="T118" t="b">
        <v>0</v>
      </c>
    </row>
    <row r="119">
      <c r="A119">
        <f>ROW(A119)-1</f>
        <v>118</v>
      </c>
      <c r="B119">
        <v>17</v>
      </c>
      <c r="C119" t="str" cm="1">
        <f t="array" ref="C119">GetValue("Tbl","Alias",B119)</f>
        <v>Col</v>
      </c>
      <c r="D119">
        <v>6</v>
      </c>
      <c r="E119" t="str" cm="1">
        <f t="array" ref="E119">GetValue("Dmn","Name",D119)</f>
        <v>Boolean</v>
      </c>
      <c r="F119" t="str" cm="1">
        <f t="array" ref="F119">GetValue("Dmn","#CategoryName",D119)</f>
        <v>boolean</v>
      </c>
      <c r="G119">
        <f>IF(H119="Id",5,G118+5)</f>
        <v>45</v>
      </c>
      <c r="H119" t="str" cm="1">
        <f t="array" ref="H119">GetColumnName(C119,IF(B119=B118,H118,""))</f>
        <v>IsPrimaryKey</v>
      </c>
      <c r="I119" t="str">
        <f>H119</f>
        <v>IsPrimaryKey</v>
      </c>
      <c r="J119" t="str">
        <f>H119</f>
        <v>IsPrimaryKey</v>
      </c>
      <c r="K119" t="b">
        <v>0</v>
      </c>
      <c r="L119" t="b">
        <v>0</v>
      </c>
      <c r="M119" t="b">
        <v>0</v>
      </c>
      <c r="N119" t="b">
        <v>1</v>
      </c>
      <c r="O119" t="b">
        <v>1</v>
      </c>
      <c r="P119" t="b">
        <v>1</v>
      </c>
      <c r="Q119" t="b">
        <v>0</v>
      </c>
      <c r="R119" t="b">
        <v>0</v>
      </c>
      <c r="S119" t="b">
        <v>0</v>
      </c>
      <c r="T119" t="b">
        <v>0</v>
      </c>
    </row>
    <row r="120">
      <c r="A120">
        <f>ROW(A120)-1</f>
        <v>119</v>
      </c>
      <c r="B120">
        <v>17</v>
      </c>
      <c r="C120" t="str" cm="1">
        <f t="array" ref="C120">GetValue("Tbl","Alias",B120)</f>
        <v>Col</v>
      </c>
      <c r="D120">
        <v>6</v>
      </c>
      <c r="E120" t="str" cm="1">
        <f t="array" ref="E120">GetValue("Dmn","Name",D120)</f>
        <v>Boolean</v>
      </c>
      <c r="F120" t="str" cm="1">
        <f t="array" ref="F120">GetValue("Dmn","#CategoryName",D120)</f>
        <v>boolean</v>
      </c>
      <c r="G120">
        <f>IF(H120="Id",5,G119+5)</f>
        <v>50</v>
      </c>
      <c r="H120" t="str" cm="1">
        <f t="array" ref="H120">GetColumnName(C120,IF(B120=B119,H119,""))</f>
        <v>IsAutoincrement</v>
      </c>
      <c r="I120" t="str">
        <f>H120</f>
        <v>IsAutoincrement</v>
      </c>
      <c r="J120" t="str">
        <f>H120</f>
        <v>IsAutoincrement</v>
      </c>
      <c r="K120" t="b">
        <v>0</v>
      </c>
      <c r="L120" t="b">
        <v>0</v>
      </c>
      <c r="M120" t="b">
        <v>0</v>
      </c>
      <c r="N120" t="b">
        <v>1</v>
      </c>
      <c r="O120" t="b">
        <v>1</v>
      </c>
      <c r="P120" t="b">
        <v>1</v>
      </c>
      <c r="Q120" t="b">
        <v>0</v>
      </c>
      <c r="R120" t="b">
        <v>0</v>
      </c>
      <c r="S120" t="b">
        <v>0</v>
      </c>
      <c r="T120" t="b">
        <v>0</v>
      </c>
    </row>
    <row r="121">
      <c r="A121">
        <f>ROW(A121)-1</f>
        <v>120</v>
      </c>
      <c r="B121">
        <v>17</v>
      </c>
      <c r="C121" t="str" cm="1">
        <f t="array" ref="C121">GetValue("Tbl","Alias",B121)</f>
        <v>Col</v>
      </c>
      <c r="D121">
        <v>6</v>
      </c>
      <c r="E121" t="str" cm="1">
        <f t="array" ref="E121">GetValue("Dmn","Name",D121)</f>
        <v>Boolean</v>
      </c>
      <c r="F121" t="str" cm="1">
        <f t="array" ref="F121">GetValue("Dmn","#CategoryName",D121)</f>
        <v>boolean</v>
      </c>
      <c r="G121">
        <f>IF(H121="Id",5,G120+5)</f>
        <v>55</v>
      </c>
      <c r="H121" t="str" cm="1">
        <f t="array" ref="H121">GetColumnName(C121,IF(B121=B120,H120,""))</f>
        <v>IsFilterable</v>
      </c>
      <c r="I121" t="str">
        <f>H121</f>
        <v>IsFilterable</v>
      </c>
      <c r="J121" t="str">
        <f>H121</f>
        <v>IsFilterable</v>
      </c>
      <c r="K121" t="b">
        <v>0</v>
      </c>
      <c r="L121" t="b">
        <v>0</v>
      </c>
      <c r="M121" t="b">
        <v>0</v>
      </c>
      <c r="N121" t="b">
        <v>1</v>
      </c>
      <c r="O121" t="b">
        <v>1</v>
      </c>
      <c r="P121" t="b">
        <v>1</v>
      </c>
      <c r="Q121" t="b">
        <v>0</v>
      </c>
      <c r="R121" t="b">
        <v>0</v>
      </c>
      <c r="S121" t="b">
        <v>0</v>
      </c>
      <c r="T121" t="b">
        <v>0</v>
      </c>
    </row>
    <row r="122">
      <c r="A122">
        <f>ROW(A122)-1</f>
        <v>121</v>
      </c>
      <c r="B122">
        <v>17</v>
      </c>
      <c r="C122" t="str" cm="1">
        <f t="array" ref="C122">GetValue("Tbl","Alias",B122)</f>
        <v>Col</v>
      </c>
      <c r="D122">
        <v>6</v>
      </c>
      <c r="E122" t="str" cm="1">
        <f t="array" ref="E122">GetValue("Dmn","Name",D122)</f>
        <v>Boolean</v>
      </c>
      <c r="F122" t="str" cm="1">
        <f t="array" ref="F122">GetValue("Dmn","#CategoryName",D122)</f>
        <v>boolean</v>
      </c>
      <c r="G122">
        <f>IF(H122="Id",5,G121+5)</f>
        <v>60</v>
      </c>
      <c r="H122" t="str" cm="1">
        <f t="array" ref="H122">GetColumnName(C122,IF(B122=B121,H121,""))</f>
        <v>IsEditable</v>
      </c>
      <c r="I122" t="str">
        <f>H122</f>
        <v>IsEditable</v>
      </c>
      <c r="J122" t="str">
        <f>H122</f>
        <v>IsEditable</v>
      </c>
      <c r="K122" t="b">
        <v>0</v>
      </c>
      <c r="L122" t="b">
        <v>0</v>
      </c>
      <c r="M122" t="b">
        <v>0</v>
      </c>
      <c r="N122" t="b">
        <v>1</v>
      </c>
      <c r="O122" t="b">
        <v>1</v>
      </c>
      <c r="P122" t="b">
        <v>1</v>
      </c>
      <c r="Q122" t="b">
        <v>0</v>
      </c>
      <c r="R122" t="b">
        <v>0</v>
      </c>
      <c r="S122" t="b">
        <v>0</v>
      </c>
      <c r="T122" t="b">
        <v>0</v>
      </c>
    </row>
    <row r="123">
      <c r="A123">
        <f>ROW(A123)-1</f>
        <v>122</v>
      </c>
      <c r="B123">
        <v>17</v>
      </c>
      <c r="C123" t="str" cm="1">
        <f t="array" ref="C123">GetValue("Tbl","Alias",B123)</f>
        <v>Col</v>
      </c>
      <c r="D123">
        <v>6</v>
      </c>
      <c r="E123" t="str" cm="1">
        <f t="array" ref="E123">GetValue("Dmn","Name",D123)</f>
        <v>Boolean</v>
      </c>
      <c r="F123" t="str" cm="1">
        <f t="array" ref="F123">GetValue("Dmn","#CategoryName",D123)</f>
        <v>boolean</v>
      </c>
      <c r="G123">
        <f>IF(H123="Id",5,G122+5)</f>
        <v>65</v>
      </c>
      <c r="H123" t="str" cm="1">
        <f t="array" ref="H123">GetColumnName(C123,IF(B123=B122,H122,""))</f>
        <v>IsGridable</v>
      </c>
      <c r="I123" t="str">
        <f>H123</f>
        <v>IsGridable</v>
      </c>
      <c r="J123" t="str">
        <f>H123</f>
        <v>IsGridable</v>
      </c>
      <c r="K123" t="b">
        <v>0</v>
      </c>
      <c r="L123" t="b">
        <v>0</v>
      </c>
      <c r="M123" t="b">
        <v>0</v>
      </c>
      <c r="N123" t="b">
        <v>1</v>
      </c>
      <c r="O123" t="b">
        <v>1</v>
      </c>
      <c r="P123" t="b">
        <v>1</v>
      </c>
      <c r="Q123" t="b">
        <v>0</v>
      </c>
      <c r="R123" t="b">
        <v>0</v>
      </c>
      <c r="S123" t="b">
        <v>0</v>
      </c>
      <c r="T123" t="b">
        <v>0</v>
      </c>
    </row>
    <row r="124">
      <c r="A124">
        <f>ROW(A124)-1</f>
        <v>123</v>
      </c>
      <c r="B124">
        <v>17</v>
      </c>
      <c r="C124" t="str" cm="1">
        <f t="array" ref="C124">GetValue("Tbl","Alias",B124)</f>
        <v>Col</v>
      </c>
      <c r="D124">
        <v>6</v>
      </c>
      <c r="E124" t="str" cm="1">
        <f t="array" ref="E124">GetValue("Dmn","Name",D124)</f>
        <v>Boolean</v>
      </c>
      <c r="F124" t="str" cm="1">
        <f t="array" ref="F124">GetValue("Dmn","#CategoryName",D124)</f>
        <v>boolean</v>
      </c>
      <c r="G124">
        <f>IF(H124="Id",5,G123+5)</f>
        <v>70</v>
      </c>
      <c r="H124" t="str" cm="1">
        <f t="array" ref="H124">GetColumnName(C124,IF(B124=B123,H123,""))</f>
        <v>IsListable</v>
      </c>
      <c r="I124" t="str">
        <f>H124</f>
        <v>IsListable</v>
      </c>
      <c r="J124" t="str">
        <f>H124</f>
        <v>IsListable</v>
      </c>
      <c r="K124" t="b">
        <v>0</v>
      </c>
      <c r="L124" t="b">
        <v>0</v>
      </c>
      <c r="M124" t="b">
        <v>0</v>
      </c>
      <c r="N124" t="b">
        <v>1</v>
      </c>
      <c r="O124" t="b">
        <v>1</v>
      </c>
      <c r="P124" t="b">
        <v>1</v>
      </c>
      <c r="Q124" t="b">
        <v>0</v>
      </c>
      <c r="R124" t="b">
        <v>0</v>
      </c>
      <c r="S124" t="b">
        <v>0</v>
      </c>
      <c r="T124" t="b">
        <v>0</v>
      </c>
    </row>
    <row r="125">
      <c r="A125">
        <f>ROW(A125)-1</f>
        <v>124</v>
      </c>
      <c r="B125">
        <v>17</v>
      </c>
      <c r="C125" t="str" cm="1">
        <f t="array" ref="C125">GetValue("Tbl","Alias",B125)</f>
        <v>Col</v>
      </c>
      <c r="D125">
        <v>6</v>
      </c>
      <c r="E125" t="str" cm="1">
        <f t="array" ref="E125">GetValue("Dmn","Name",D125)</f>
        <v>Boolean</v>
      </c>
      <c r="F125" t="str" cm="1">
        <f t="array" ref="F125">GetValue("Dmn","#CategoryName",D125)</f>
        <v>boolean</v>
      </c>
      <c r="G125">
        <f>IF(H125="Id",5,G124+5)</f>
        <v>75</v>
      </c>
      <c r="H125" t="str" cm="1">
        <f t="array" ref="H125">GetColumnName(C125,IF(B125=B124,H124,""))</f>
        <v>IsEncrypted</v>
      </c>
      <c r="I125" t="str">
        <f>H125</f>
        <v>IsEncrypted</v>
      </c>
      <c r="J125" t="str">
        <f>H125</f>
        <v>IsEncrypted</v>
      </c>
      <c r="K125" t="b">
        <v>0</v>
      </c>
      <c r="L125" t="b">
        <v>0</v>
      </c>
      <c r="M125" t="b">
        <v>0</v>
      </c>
      <c r="N125" t="b">
        <v>1</v>
      </c>
      <c r="O125" t="b">
        <v>1</v>
      </c>
      <c r="P125" t="b">
        <v>1</v>
      </c>
      <c r="Q125" t="b">
        <v>0</v>
      </c>
      <c r="R125" t="b">
        <v>0</v>
      </c>
      <c r="S125" t="b">
        <v>0</v>
      </c>
      <c r="T125" t="b">
        <v>0</v>
      </c>
    </row>
    <row r="126">
      <c r="A126">
        <f>ROW(A126)-1</f>
        <v>125</v>
      </c>
      <c r="B126">
        <v>17</v>
      </c>
      <c r="C126" t="str" cm="1">
        <f t="array" ref="C126">GetValue("Tbl","Alias",B126)</f>
        <v>Col</v>
      </c>
      <c r="D126">
        <v>6</v>
      </c>
      <c r="E126" t="str" cm="1">
        <f t="array" ref="E126">GetValue("Dmn","Name",D126)</f>
        <v>Boolean</v>
      </c>
      <c r="F126" t="str" cm="1">
        <f t="array" ref="F126">GetValue("Dmn","#CategoryName",D126)</f>
        <v>boolean</v>
      </c>
      <c r="G126">
        <f>IF(H126="Id",5,G125+5)</f>
        <v>80</v>
      </c>
      <c r="H126" t="str" cm="1">
        <f t="array" ref="H126">GetColumnName(C126,IF(B126=B125,H125,""))</f>
        <v>IsInWords</v>
      </c>
      <c r="I126" t="str">
        <f>H126</f>
        <v>IsInWords</v>
      </c>
      <c r="J126" t="str">
        <f>H126</f>
        <v>IsInWords</v>
      </c>
      <c r="K126" t="b">
        <v>0</v>
      </c>
      <c r="L126" t="b">
        <v>0</v>
      </c>
      <c r="M126" t="b">
        <v>0</v>
      </c>
      <c r="N126" t="b">
        <v>1</v>
      </c>
      <c r="O126" t="b">
        <v>1</v>
      </c>
      <c r="P126" t="b">
        <v>1</v>
      </c>
      <c r="Q126" t="b">
        <v>0</v>
      </c>
      <c r="R126" t="b">
        <v>0</v>
      </c>
      <c r="S126" t="b">
        <v>0</v>
      </c>
      <c r="T126" t="b">
        <v>0</v>
      </c>
    </row>
    <row r="127">
      <c r="A127">
        <f>ROW(A127)-1</f>
        <v>126</v>
      </c>
      <c r="B127">
        <v>17</v>
      </c>
      <c r="C127" t="str" cm="1">
        <f t="array" ref="C127">GetValue("Tbl","Alias",B127)</f>
        <v>Col</v>
      </c>
      <c r="D127">
        <v>6</v>
      </c>
      <c r="E127" t="str" cm="1">
        <f t="array" ref="E127">GetValue("Dmn","Name",D127)</f>
        <v>Boolean</v>
      </c>
      <c r="F127" t="str" cm="1">
        <f t="array" ref="F127">GetValue("Dmn","#CategoryName",D127)</f>
        <v>boolean</v>
      </c>
      <c r="G127">
        <f>IF(H127="Id",5,G126+5)</f>
        <v>85</v>
      </c>
      <c r="H127" t="str" cm="1">
        <f t="array" ref="H127">GetColumnName(C127,IF(B127=B126,H126,""))</f>
        <v>IsVirtual</v>
      </c>
      <c r="I127" t="str">
        <f>H127</f>
        <v>IsVirtual</v>
      </c>
      <c r="J127" t="str">
        <f>H127</f>
        <v>IsVirtual</v>
      </c>
      <c r="K127" t="b">
        <v>0</v>
      </c>
      <c r="L127" t="b">
        <v>0</v>
      </c>
      <c r="M127" t="b">
        <v>0</v>
      </c>
      <c r="N127" t="b">
        <v>1</v>
      </c>
      <c r="O127" t="b">
        <v>1</v>
      </c>
      <c r="P127" t="b">
        <v>0</v>
      </c>
      <c r="Q127" t="b">
        <v>0</v>
      </c>
      <c r="R127" t="b">
        <v>0</v>
      </c>
      <c r="S127" t="b">
        <v>0</v>
      </c>
      <c r="T127" t="b">
        <v>0</v>
      </c>
    </row>
    <row r="128">
      <c r="A128">
        <f>ROW(A128)-1</f>
        <v>127</v>
      </c>
      <c r="B128">
        <v>18</v>
      </c>
      <c r="C128" t="str" cm="1">
        <f t="array" ref="C128">GetValue("Tbl","Alias",B128)</f>
        <v>Idx</v>
      </c>
      <c r="D128">
        <v>6</v>
      </c>
      <c r="E128" t="str" cm="1">
        <f t="array" ref="E128">GetValue("Dmn","Name",D128)</f>
        <v>Boolean</v>
      </c>
      <c r="F128" t="str" cm="1">
        <f t="array" ref="F128">GetValue("Dmn","#CategoryName",D128)</f>
        <v>boolean</v>
      </c>
      <c r="G128">
        <f>IF(H128="Id",5,G127+5)</f>
        <v>5</v>
      </c>
      <c r="H128" t="str" cm="1">
        <f t="array" ref="H128">GetColumnName(C128,IF(B128=B127,H127,""))</f>
        <v>Id</v>
      </c>
      <c r="I128" t="str">
        <f>H128</f>
        <v>Id</v>
      </c>
      <c r="J128" t="str">
        <f>H128</f>
        <v>Id</v>
      </c>
      <c r="K128" t="b">
        <v>1</v>
      </c>
      <c r="L128" t="b">
        <v>1</v>
      </c>
      <c r="M128" t="b">
        <v>1</v>
      </c>
      <c r="N128" t="b">
        <v>1</v>
      </c>
      <c r="O128" t="b">
        <v>0</v>
      </c>
      <c r="P128" t="b">
        <v>0</v>
      </c>
      <c r="Q128" t="b">
        <v>0</v>
      </c>
      <c r="R128" t="b">
        <v>0</v>
      </c>
      <c r="S128" t="b">
        <v>0</v>
      </c>
      <c r="T128" t="b">
        <v>0</v>
      </c>
    </row>
    <row r="129">
      <c r="A129">
        <f>ROW(A129)-1</f>
        <v>128</v>
      </c>
      <c r="B129">
        <v>18</v>
      </c>
      <c r="C129" t="str" cm="1">
        <f t="array" ref="C129">GetValue("Tbl","Alias",B129)</f>
        <v>Idx</v>
      </c>
      <c r="D129">
        <v>6</v>
      </c>
      <c r="E129" t="str" cm="1">
        <f t="array" ref="E129">GetValue("Dmn","Name",D129)</f>
        <v>Boolean</v>
      </c>
      <c r="F129" t="str" cm="1">
        <f t="array" ref="F129">GetValue("Dmn","#CategoryName",D129)</f>
        <v>boolean</v>
      </c>
      <c r="G129">
        <f>IF(H129="Id",5,G128+5)</f>
        <v>10</v>
      </c>
      <c r="H129" t="str" cm="1">
        <f t="array" ref="H129">GetColumnName(C129,IF(B129=B128,H128,""))</f>
        <v>TableId</v>
      </c>
      <c r="I129" t="str">
        <f>H129</f>
        <v>TableId</v>
      </c>
      <c r="J129" t="str">
        <f>H129</f>
        <v>TableId</v>
      </c>
      <c r="K129" t="b">
        <v>1</v>
      </c>
      <c r="L129" t="b">
        <v>0</v>
      </c>
      <c r="M129" t="b">
        <v>0</v>
      </c>
      <c r="N129" t="b">
        <v>1</v>
      </c>
      <c r="O129" t="b">
        <v>1</v>
      </c>
      <c r="P129" t="b">
        <v>1</v>
      </c>
      <c r="Q129" t="b">
        <v>0</v>
      </c>
      <c r="R129" t="b">
        <v>0</v>
      </c>
      <c r="S129" t="b">
        <v>0</v>
      </c>
      <c r="T129" t="b">
        <v>0</v>
      </c>
    </row>
    <row r="130">
      <c r="A130">
        <f>ROW(A130)-1</f>
        <v>129</v>
      </c>
      <c r="B130">
        <v>18</v>
      </c>
      <c r="C130" t="str" cm="1">
        <f t="array" ref="C130">GetValue("Tbl","Alias",B130)</f>
        <v>Idx</v>
      </c>
      <c r="D130">
        <v>6</v>
      </c>
      <c r="E130" t="str" cm="1">
        <f t="array" ref="E130">GetValue("Dmn","Name",D130)</f>
        <v>Boolean</v>
      </c>
      <c r="F130" t="str" cm="1">
        <f t="array" ref="F130">GetValue("Dmn","#CategoryName",D130)</f>
        <v>boolean</v>
      </c>
      <c r="G130">
        <f>IF(H130="Id",5,G129+5)</f>
        <v>15</v>
      </c>
      <c r="H130" t="str" cm="1">
        <f t="array" ref="H130">GetColumnName(C130,IF(B130=B129,H129,""))</f>
        <v>Name</v>
      </c>
      <c r="I130" t="str">
        <f>H130</f>
        <v>Name</v>
      </c>
      <c r="J130" t="str">
        <f>H130</f>
        <v>Name</v>
      </c>
      <c r="K130" t="b">
        <v>1</v>
      </c>
      <c r="L130" t="b">
        <v>0</v>
      </c>
      <c r="M130" t="b">
        <v>0</v>
      </c>
      <c r="N130" t="b">
        <v>1</v>
      </c>
      <c r="O130" t="b">
        <v>1</v>
      </c>
      <c r="P130" t="b">
        <v>1</v>
      </c>
      <c r="Q130" t="b">
        <v>1</v>
      </c>
      <c r="R130" t="b">
        <v>0</v>
      </c>
      <c r="S130" t="b">
        <v>0</v>
      </c>
      <c r="T130" t="b">
        <v>0</v>
      </c>
    </row>
    <row r="131">
      <c r="A131">
        <f>ROW(A131)-1</f>
        <v>130</v>
      </c>
      <c r="B131">
        <v>18</v>
      </c>
      <c r="C131" t="str" cm="1">
        <f t="array" ref="C131">GetValue("Tbl","Alias",B131)</f>
        <v>Idx</v>
      </c>
      <c r="D131">
        <v>1</v>
      </c>
      <c r="E131" t="str" cm="1">
        <f t="array" ref="E131">GetValue("Dmn","Name",D131)</f>
        <v>BigInteger</v>
      </c>
      <c r="F131" t="str" cm="1">
        <f t="array" ref="F131">GetValue("Dmn","#CategoryName",D131)</f>
        <v>number</v>
      </c>
      <c r="G131">
        <f>IF(H131="Id",5,G129+5)</f>
        <v>15</v>
      </c>
      <c r="H131" t="str" cm="1">
        <f t="array" ref="H131">GetColumnName(C131,IF(B131=B130,H130,""))</f>
        <v>IsUnique</v>
      </c>
      <c r="I131" t="str">
        <f>H131</f>
        <v>IsUnique</v>
      </c>
      <c r="J131" t="str">
        <f>H131</f>
        <v>IsUnique</v>
      </c>
      <c r="K131" t="b">
        <v>1</v>
      </c>
      <c r="L131" t="b">
        <v>0</v>
      </c>
      <c r="M131" t="b">
        <v>0</v>
      </c>
      <c r="N131" t="b">
        <v>1</v>
      </c>
      <c r="O131" t="b">
        <v>0</v>
      </c>
      <c r="P131" t="b">
        <v>0</v>
      </c>
      <c r="Q131" t="b">
        <v>0</v>
      </c>
      <c r="R131" t="b">
        <v>0</v>
      </c>
      <c r="S131" t="b">
        <v>0</v>
      </c>
      <c r="T131" t="b">
        <v>0</v>
      </c>
    </row>
    <row r="132">
      <c r="A132">
        <f>ROW(A132)-1</f>
        <v>131</v>
      </c>
      <c r="B132">
        <v>19</v>
      </c>
      <c r="C132" t="str" cm="1">
        <f t="array" ref="C132">GetValue("Tbl","Alias",B132)</f>
        <v>Idk</v>
      </c>
      <c r="D132">
        <v>1</v>
      </c>
      <c r="E132" t="str" cm="1">
        <f t="array" ref="E132">GetValue("Dmn","Name",D132)</f>
        <v>BigInteger</v>
      </c>
      <c r="F132" t="str" cm="1">
        <f t="array" ref="F132">GetValue("Dmn","#CategoryName",D132)</f>
        <v>number</v>
      </c>
      <c r="G132">
        <f>IF(H132="Id",5,G131+5)</f>
        <v>5</v>
      </c>
      <c r="H132" t="str" cm="1">
        <f t="array" ref="H132">GetColumnName(C132,IF(B132=B131,H131,""))</f>
        <v>Id</v>
      </c>
      <c r="I132" t="str">
        <f>H132</f>
        <v>Id</v>
      </c>
      <c r="J132" t="str">
        <f>H132</f>
        <v>Id</v>
      </c>
      <c r="K132" t="b">
        <v>1</v>
      </c>
      <c r="L132" t="b">
        <v>1</v>
      </c>
      <c r="M132" t="b">
        <v>1</v>
      </c>
      <c r="N132" t="b">
        <v>1</v>
      </c>
      <c r="O132" t="b">
        <v>0</v>
      </c>
      <c r="P132" t="b">
        <v>0</v>
      </c>
      <c r="Q132" t="b">
        <v>0</v>
      </c>
      <c r="R132" t="b">
        <v>0</v>
      </c>
      <c r="S132" t="b">
        <v>0</v>
      </c>
      <c r="T132" t="b">
        <v>0</v>
      </c>
    </row>
    <row r="133">
      <c r="A133">
        <f>ROW(A133)-1</f>
        <v>132</v>
      </c>
      <c r="B133">
        <v>19</v>
      </c>
      <c r="C133" t="str" cm="1">
        <f t="array" ref="C133">GetValue("Tbl","Alias",B133)</f>
        <v>Idk</v>
      </c>
      <c r="D133">
        <v>10</v>
      </c>
      <c r="E133" t="str" cm="1">
        <f t="array" ref="E133">GetValue("Dmn","Name",D133)</f>
        <v>NVARCHAR(25)</v>
      </c>
      <c r="F133" t="str" cm="1">
        <f t="array" ref="F133">GetValue("Dmn","#CategoryName",D133)</f>
        <v>string</v>
      </c>
      <c r="G133">
        <f>IF(H133="Id",5,G132+5)</f>
        <v>10</v>
      </c>
      <c r="H133" t="str" cm="1">
        <f t="array" ref="H133">GetColumnName(C133,IF(B133=B132,H132,""))</f>
        <v>IndexId</v>
      </c>
      <c r="I133" t="str">
        <f>H133</f>
        <v>IndexId</v>
      </c>
      <c r="J133" t="str">
        <f>H133</f>
        <v>IndexId</v>
      </c>
      <c r="K133" t="b">
        <v>1</v>
      </c>
      <c r="L133" t="b">
        <v>0</v>
      </c>
      <c r="M133" t="b">
        <v>0</v>
      </c>
      <c r="N133" t="b">
        <v>1</v>
      </c>
      <c r="O133" t="b">
        <v>1</v>
      </c>
      <c r="P133" t="b">
        <v>1</v>
      </c>
      <c r="Q133" t="b">
        <v>0</v>
      </c>
      <c r="R133" t="b">
        <v>0</v>
      </c>
      <c r="S133" t="b">
        <v>0</v>
      </c>
      <c r="T133" t="b">
        <v>0</v>
      </c>
    </row>
    <row r="134">
      <c r="A134">
        <f>ROW(A134)-1</f>
        <v>133</v>
      </c>
      <c r="B134">
        <v>19</v>
      </c>
      <c r="C134" t="str" cm="1">
        <f t="array" ref="C134">GetValue("Tbl","Alias",B134)</f>
        <v>Idk</v>
      </c>
      <c r="D134">
        <v>4</v>
      </c>
      <c r="E134" t="str" cm="1">
        <f t="array" ref="E134">GetValue("Dmn","Name",D134)</f>
        <v>SmallInteger</v>
      </c>
      <c r="F134" t="str" cm="1">
        <f t="array" ref="F134">GetValue("Dmn","#CategoryName",D134)</f>
        <v>number</v>
      </c>
      <c r="G134">
        <f>IF(H134="Id",5,G133+5)</f>
        <v>15</v>
      </c>
      <c r="H134" t="str" cm="1">
        <f t="array" ref="H134">GetColumnName(C134,IF(B134=B133,H133,""))</f>
        <v>ColumnId</v>
      </c>
      <c r="I134" t="str">
        <f>H134</f>
        <v>ColumnId</v>
      </c>
      <c r="J134" t="str">
        <f>H134</f>
        <v>ColumnId</v>
      </c>
      <c r="K134" t="b">
        <v>1</v>
      </c>
      <c r="L134" t="b">
        <v>0</v>
      </c>
      <c r="M134" t="b">
        <v>0</v>
      </c>
      <c r="N134" t="b">
        <v>1</v>
      </c>
      <c r="O134" t="b">
        <v>1</v>
      </c>
      <c r="P134" t="b">
        <v>1</v>
      </c>
      <c r="Q134" t="b">
        <v>0</v>
      </c>
      <c r="R134" t="b">
        <v>0</v>
      </c>
      <c r="S134" t="b">
        <v>0</v>
      </c>
      <c r="T134" t="b">
        <v>0</v>
      </c>
    </row>
    <row r="135">
      <c r="A135">
        <f>ROW(A135)-1</f>
        <v>134</v>
      </c>
      <c r="B135">
        <v>19</v>
      </c>
      <c r="C135" t="str" cm="1">
        <f t="array" ref="C135">GetValue("Tbl","Alias",B135)</f>
        <v>Idk</v>
      </c>
      <c r="D135">
        <v>4</v>
      </c>
      <c r="E135" t="str" cm="1">
        <f t="array" ref="E135">GetValue("Dmn","Name",D135)</f>
        <v>SmallInteger</v>
      </c>
      <c r="F135" t="str" cm="1">
        <f t="array" ref="F135">GetValue("Dmn","#CategoryName",D135)</f>
        <v>number</v>
      </c>
      <c r="G135">
        <f>IF(H135="Id",5,G134+5)</f>
        <v>20</v>
      </c>
      <c r="H135" t="str" cm="1">
        <f t="array" ref="H135">GetColumnName(C135,IF(B135=B134,H134,""))</f>
        <v>Sequence</v>
      </c>
      <c r="I135" t="str">
        <f>H135</f>
        <v>Sequence</v>
      </c>
      <c r="J135" t="str">
        <f>H135</f>
        <v>Sequence</v>
      </c>
      <c r="K135" t="b">
        <v>1</v>
      </c>
      <c r="L135" t="b">
        <v>0</v>
      </c>
      <c r="M135" t="b">
        <v>0</v>
      </c>
      <c r="N135" t="b">
        <v>0</v>
      </c>
      <c r="O135" t="b">
        <v>1</v>
      </c>
      <c r="P135" t="b">
        <v>1</v>
      </c>
      <c r="Q135" t="b">
        <v>0</v>
      </c>
      <c r="R135" t="b">
        <v>0</v>
      </c>
      <c r="S135" t="b">
        <v>0</v>
      </c>
      <c r="T135" t="b">
        <v>0</v>
      </c>
    </row>
    <row r="136">
      <c r="A136">
        <f>ROW(A136)-1</f>
        <v>135</v>
      </c>
      <c r="B136">
        <v>19</v>
      </c>
      <c r="C136" t="str" cm="1">
        <f t="array" ref="C136">GetValue("Tbl","Alias",B136)</f>
        <v>Idk</v>
      </c>
      <c r="D136">
        <v>4</v>
      </c>
      <c r="E136" t="str" cm="1">
        <f t="array" ref="E136">GetValue("Dmn","Name",D136)</f>
        <v>SmallInteger</v>
      </c>
      <c r="F136" t="str" cm="1">
        <f t="array" ref="F136">GetValue("Dmn","#CategoryName",D136)</f>
        <v>number</v>
      </c>
      <c r="G136">
        <f>IF(H136="Id",5,G135+5)</f>
        <v>25</v>
      </c>
      <c r="H136" t="str" cm="1">
        <f t="array" ref="H136">GetColumnName(C136,IF(B136=B135,H135,""))</f>
        <v>IsDescending</v>
      </c>
      <c r="I136" t="str">
        <f>H136</f>
        <v>IsDescending</v>
      </c>
      <c r="J136" t="str">
        <f>H136</f>
        <v>IsDescending</v>
      </c>
      <c r="K136" t="b">
        <v>1</v>
      </c>
      <c r="L136" t="b">
        <v>0</v>
      </c>
      <c r="M136" t="b">
        <v>0</v>
      </c>
      <c r="N136" t="b">
        <v>1</v>
      </c>
      <c r="O136" t="b">
        <v>1</v>
      </c>
      <c r="P136" t="b">
        <v>1</v>
      </c>
      <c r="Q136" t="b">
        <v>0</v>
      </c>
      <c r="R136" t="b">
        <v>0</v>
      </c>
      <c r="S136" t="b">
        <v>0</v>
      </c>
      <c r="T136" t="b">
        <v>0</v>
      </c>
    </row>
    <row r="137">
      <c r="A137">
        <f>ROW(A137)-1</f>
        <v>136</v>
      </c>
      <c r="B137">
        <v>20</v>
      </c>
      <c r="C137" t="str" cm="1">
        <f t="array" ref="C137">GetValue("Tbl","Alias",B137)</f>
        <v>Inc</v>
      </c>
      <c r="D137">
        <v>1</v>
      </c>
      <c r="E137" t="str" cm="1">
        <f t="array" ref="E137">GetValue("Dmn","Name",D137)</f>
        <v>BigInteger</v>
      </c>
      <c r="F137" t="str" cm="1">
        <f t="array" ref="F137">GetValue("Dmn","#CategoryName",D137)</f>
        <v>number</v>
      </c>
      <c r="G137">
        <f>IF(H137="Id",5,G136+5)</f>
        <v>5</v>
      </c>
      <c r="H137" t="str" cm="1">
        <f t="array" ref="H137">GetColumnName(C137,IF(B137=B136,H136,""))</f>
        <v>Id</v>
      </c>
      <c r="I137" t="str">
        <f>H137</f>
        <v>Id</v>
      </c>
      <c r="J137" t="str">
        <f>H137</f>
        <v>Id</v>
      </c>
      <c r="K137" t="b">
        <v>1</v>
      </c>
      <c r="L137" t="b">
        <v>1</v>
      </c>
      <c r="M137" t="b">
        <v>1</v>
      </c>
      <c r="N137" t="b">
        <v>1</v>
      </c>
      <c r="O137" t="b">
        <v>0</v>
      </c>
      <c r="P137" t="b">
        <v>0</v>
      </c>
      <c r="Q137" t="b">
        <v>0</v>
      </c>
      <c r="R137" t="b">
        <v>0</v>
      </c>
      <c r="S137" t="b">
        <v>0</v>
      </c>
      <c r="T137" t="b">
        <v>0</v>
      </c>
    </row>
    <row r="138">
      <c r="A138">
        <f>ROW(A138)-1</f>
        <v>137</v>
      </c>
      <c r="B138">
        <v>20</v>
      </c>
      <c r="C138" t="str" cm="1">
        <f t="array" ref="C138">GetValue("Tbl","Alias",B138)</f>
        <v>Inc</v>
      </c>
      <c r="D138">
        <v>1</v>
      </c>
      <c r="E138" t="str" cm="1">
        <f t="array" ref="E138">GetValue("Dmn","Name",D138)</f>
        <v>BigInteger</v>
      </c>
      <c r="F138" t="str" cm="1">
        <f t="array" ref="F138">GetValue("Dmn","#CategoryName",D138)</f>
        <v>number</v>
      </c>
      <c r="G138">
        <f>IF(H138="Id",5,G137+5)</f>
        <v>10</v>
      </c>
      <c r="H138" t="str" cm="1">
        <f t="array" ref="H138">GetColumnName(C138,IF(B138=B137,H137,""))</f>
        <v>IndexId</v>
      </c>
      <c r="I138" t="str">
        <f>H138</f>
        <v>IndexId</v>
      </c>
      <c r="J138" t="str">
        <f>H138</f>
        <v>IndexId</v>
      </c>
      <c r="K138" t="b">
        <v>1</v>
      </c>
      <c r="L138" t="b">
        <v>0</v>
      </c>
      <c r="M138" t="b">
        <v>0</v>
      </c>
      <c r="N138" t="b">
        <v>1</v>
      </c>
      <c r="O138" t="b">
        <v>1</v>
      </c>
      <c r="P138" t="b">
        <v>1</v>
      </c>
      <c r="Q138" t="b">
        <v>0</v>
      </c>
      <c r="R138" t="b">
        <v>0</v>
      </c>
      <c r="S138" t="b">
        <v>0</v>
      </c>
      <c r="T138" t="b">
        <v>0</v>
      </c>
    </row>
    <row r="139">
      <c r="A139">
        <f>ROW(A139)-1</f>
        <v>138</v>
      </c>
      <c r="B139">
        <v>20</v>
      </c>
      <c r="C139" t="str" cm="1">
        <f t="array" ref="C139">GetValue("Tbl","Alias",B139)</f>
        <v>Inc</v>
      </c>
      <c r="D139">
        <v>1</v>
      </c>
      <c r="E139" t="str" cm="1">
        <f t="array" ref="E139">GetValue("Dmn","Name",D139)</f>
        <v>BigInteger</v>
      </c>
      <c r="F139" t="str" cm="1">
        <f t="array" ref="F139">GetValue("Dmn","#CategoryName",D139)</f>
        <v>number</v>
      </c>
      <c r="G139">
        <f>IF(H139="Id",5,G138+5)</f>
        <v>15</v>
      </c>
      <c r="H139" t="str" cm="1">
        <f t="array" ref="H139">GetColumnName(C139,IF(B139=B138,H138,""))</f>
        <v>ColumnId</v>
      </c>
      <c r="I139" t="str">
        <f>H139</f>
        <v>ColumnId</v>
      </c>
      <c r="J139" t="str">
        <f>H139</f>
        <v>ColumnId</v>
      </c>
      <c r="K139" t="b">
        <v>1</v>
      </c>
      <c r="L139" t="b">
        <v>0</v>
      </c>
      <c r="M139" t="b">
        <v>0</v>
      </c>
      <c r="N139" t="b">
        <v>1</v>
      </c>
      <c r="O139" t="b">
        <v>1</v>
      </c>
      <c r="P139" t="b">
        <v>1</v>
      </c>
      <c r="Q139" t="b">
        <v>0</v>
      </c>
      <c r="R139" t="b">
        <v>0</v>
      </c>
      <c r="S139" t="b">
        <v>0</v>
      </c>
      <c r="T139" t="b">
        <v>0</v>
      </c>
    </row>
    <row r="140">
      <c r="A140">
        <f>ROW(A140)-1</f>
        <v>139</v>
      </c>
      <c r="B140">
        <v>21</v>
      </c>
      <c r="C140" t="str" cm="1">
        <f t="array" ref="C140">GetValue("Tbl","Alias",B140)</f>
        <v>Uni</v>
      </c>
      <c r="D140">
        <v>4</v>
      </c>
      <c r="E140" t="str" cm="1">
        <f t="array" ref="E140">GetValue("Dmn","Name",D140)</f>
        <v>SmallInteger</v>
      </c>
      <c r="F140" t="str" cm="1">
        <f t="array" ref="F140">GetValue("Dmn","#CategoryName",D140)</f>
        <v>number</v>
      </c>
      <c r="G140">
        <f>IF(H140="Id",5,G139+5)</f>
        <v>5</v>
      </c>
      <c r="H140" t="str" cm="1">
        <f t="array" ref="H140">GetColumnName(C140,IF(B140=B139,H139,""))</f>
        <v>Id</v>
      </c>
      <c r="I140" t="str">
        <f>H140</f>
        <v>Id</v>
      </c>
      <c r="J140" t="str">
        <f>H140</f>
        <v>Id</v>
      </c>
      <c r="K140" t="b">
        <v>1</v>
      </c>
      <c r="L140" t="b">
        <v>1</v>
      </c>
      <c r="M140" t="b">
        <v>1</v>
      </c>
      <c r="N140" t="b">
        <v>1</v>
      </c>
      <c r="O140" t="b">
        <v>0</v>
      </c>
      <c r="P140" t="b">
        <v>0</v>
      </c>
      <c r="Q140" t="b">
        <v>0</v>
      </c>
      <c r="R140" t="b">
        <v>0</v>
      </c>
      <c r="S140" t="b">
        <v>0</v>
      </c>
      <c r="T140" t="b">
        <v>0</v>
      </c>
    </row>
    <row r="141">
      <c r="A141">
        <f>ROW(A141)-1</f>
        <v>140</v>
      </c>
      <c r="B141">
        <v>21</v>
      </c>
      <c r="C141" t="str" cm="1">
        <f t="array" ref="C141">GetValue("Tbl","Alias",B141)</f>
        <v>Uni</v>
      </c>
      <c r="D141">
        <v>6</v>
      </c>
      <c r="E141" t="str" cm="1">
        <f t="array" ref="E141">GetValue("Dmn","Name",D141)</f>
        <v>Boolean</v>
      </c>
      <c r="F141" t="str" cm="1">
        <f t="array" ref="F141">GetValue("Dmn","#CategoryName",D141)</f>
        <v>boolean</v>
      </c>
      <c r="G141">
        <f>IF(H141="Id",5,G140+5)</f>
        <v>10</v>
      </c>
      <c r="H141" t="str" cm="1">
        <f t="array" ref="H141">GetColumnName(C141,IF(B141=B140,H140,""))</f>
        <v>LeftColumnId</v>
      </c>
      <c r="I141" t="str">
        <f>H141</f>
        <v>LeftColumnId</v>
      </c>
      <c r="J141" t="str">
        <f>H141</f>
        <v>LeftColumnId</v>
      </c>
      <c r="K141" t="b">
        <v>1</v>
      </c>
      <c r="L141" t="b">
        <v>0</v>
      </c>
      <c r="M141" t="b">
        <v>0</v>
      </c>
      <c r="N141" t="b">
        <v>1</v>
      </c>
      <c r="O141" t="b">
        <v>1</v>
      </c>
      <c r="P141" t="b">
        <v>1</v>
      </c>
      <c r="Q141" t="b">
        <v>0</v>
      </c>
      <c r="R141" t="b">
        <v>0</v>
      </c>
      <c r="S141" t="b">
        <v>0</v>
      </c>
      <c r="T141" t="b">
        <v>0</v>
      </c>
    </row>
    <row r="142">
      <c r="A142">
        <f>ROW(A142)-1</f>
        <v>141</v>
      </c>
      <c r="B142">
        <v>21</v>
      </c>
      <c r="C142" t="str" cm="1">
        <f t="array" ref="C142">GetValue("Tbl","Alias",B142)</f>
        <v>Uni</v>
      </c>
      <c r="D142">
        <v>1</v>
      </c>
      <c r="E142" t="str" cm="1">
        <f t="array" ref="E142">GetValue("Dmn","Name",D142)</f>
        <v>BigInteger</v>
      </c>
      <c r="F142" t="str" cm="1">
        <f t="array" ref="F142">GetValue("Dmn","#CategoryName",D142)</f>
        <v>number</v>
      </c>
      <c r="G142">
        <f>IF(H142="Id",5,G141+5)</f>
        <v>15</v>
      </c>
      <c r="H142" t="str" cm="1">
        <f t="array" ref="H142">GetColumnName(C142,IF(B142=B141,H141,""))</f>
        <v>RightColumnId</v>
      </c>
      <c r="I142" t="str">
        <f>H142</f>
        <v>RightColumnId</v>
      </c>
      <c r="J142" t="str">
        <f>H142</f>
        <v>RightColumnId</v>
      </c>
      <c r="K142" t="b">
        <v>1</v>
      </c>
      <c r="L142" t="b">
        <v>0</v>
      </c>
      <c r="M142" t="b">
        <v>0</v>
      </c>
      <c r="N142" t="b">
        <v>1</v>
      </c>
      <c r="O142" t="b">
        <v>0</v>
      </c>
      <c r="P142" t="b">
        <v>0</v>
      </c>
      <c r="Q142" t="b">
        <v>0</v>
      </c>
      <c r="R142" t="b">
        <v>0</v>
      </c>
      <c r="S142" t="b">
        <v>0</v>
      </c>
      <c r="T142" t="b">
        <v>0</v>
      </c>
    </row>
    <row r="143">
      <c r="A143">
        <f>ROW(A143)-1</f>
        <v>142</v>
      </c>
      <c r="B143">
        <v>21</v>
      </c>
      <c r="C143" t="str" cm="1">
        <f t="array" ref="C143">GetValue("Tbl","Alias",B143)</f>
        <v>Uni</v>
      </c>
      <c r="D143">
        <v>1</v>
      </c>
      <c r="E143" t="str" cm="1">
        <f t="array" ref="E143">GetValue("Dmn","Name",D143)</f>
        <v>BigInteger</v>
      </c>
      <c r="F143" t="str" cm="1">
        <f t="array" ref="F143">GetValue("Dmn","#CategoryName",D143)</f>
        <v>number</v>
      </c>
      <c r="G143">
        <f>IF(H143="Id",5,G142+5)</f>
        <v>20</v>
      </c>
      <c r="H143" t="str" cm="1">
        <f t="array" ref="H143">GetColumnName(C143,IF(B143=B142,H142,""))</f>
        <v>IsBirectional</v>
      </c>
      <c r="I143" t="str">
        <f>H143</f>
        <v>IsBirectional</v>
      </c>
      <c r="J143" t="str">
        <f>H143</f>
        <v>IsBirectional</v>
      </c>
      <c r="K143" t="b">
        <v>0</v>
      </c>
      <c r="L143" t="b">
        <v>0</v>
      </c>
      <c r="M143" t="b">
        <v>0</v>
      </c>
      <c r="N143" t="b">
        <v>1</v>
      </c>
      <c r="O143" t="b">
        <v>1</v>
      </c>
      <c r="P143" t="b">
        <v>1</v>
      </c>
      <c r="Q143" t="b">
        <v>0</v>
      </c>
      <c r="R143" t="b">
        <v>0</v>
      </c>
      <c r="S143" t="b">
        <v>0</v>
      </c>
      <c r="T143" t="b">
        <v>0</v>
      </c>
    </row>
    <row r="144">
      <c r="A144">
        <f>ROW(A144)-1</f>
        <v>143</v>
      </c>
      <c r="B144">
        <v>22</v>
      </c>
      <c r="C144" t="str" cm="1">
        <f t="array" ref="C144">GetValue("Tbl","Alias",B144)</f>
        <v>Exp</v>
      </c>
      <c r="D144">
        <v>1</v>
      </c>
      <c r="E144" t="str" cm="1">
        <f t="array" ref="E144">GetValue("Dmn","Name",D144)</f>
        <v>BigInteger</v>
      </c>
      <c r="F144" t="str" cm="1">
        <f t="array" ref="F144">GetValue("Dmn","#CategoryName",D144)</f>
        <v>number</v>
      </c>
      <c r="G144">
        <f>IF(H144="Id",5,G143+5)</f>
        <v>5</v>
      </c>
      <c r="H144" t="str" cm="1">
        <f t="array" ref="H144">GetColumnName(C144,IF(B144=B143,H143,""))</f>
        <v>Id</v>
      </c>
      <c r="I144" t="str">
        <f>H144</f>
        <v>Id</v>
      </c>
      <c r="J144" t="str">
        <f>H144</f>
        <v>Id</v>
      </c>
      <c r="K144" t="b">
        <v>1</v>
      </c>
      <c r="L144" t="b">
        <v>1</v>
      </c>
      <c r="M144" t="b">
        <v>1</v>
      </c>
      <c r="N144" t="b">
        <v>1</v>
      </c>
      <c r="O144" t="b">
        <v>0</v>
      </c>
      <c r="P144" t="b">
        <v>0</v>
      </c>
      <c r="Q144" t="b">
        <v>0</v>
      </c>
      <c r="R144" t="b">
        <v>0</v>
      </c>
      <c r="S144" t="b">
        <v>0</v>
      </c>
      <c r="T144" t="b">
        <v>0</v>
      </c>
    </row>
    <row r="145">
      <c r="A145">
        <f>ROW(A145)-1</f>
        <v>144</v>
      </c>
      <c r="B145">
        <v>22</v>
      </c>
      <c r="C145" t="str" cm="1">
        <f t="array" ref="C145">GetValue("Tbl","Alias",B145)</f>
        <v>Exp</v>
      </c>
      <c r="D145">
        <v>1</v>
      </c>
      <c r="E145" t="str" cm="1">
        <f t="array" ref="E145">GetValue("Dmn","Name",D145)</f>
        <v>BigInteger</v>
      </c>
      <c r="F145" t="str" cm="1">
        <f t="array" ref="F145">GetValue("Dmn","#CategoryName",D145)</f>
        <v>number</v>
      </c>
      <c r="G145">
        <f>IF(H145="Id",5,G144+5)</f>
        <v>10</v>
      </c>
      <c r="H145" t="str" cm="1">
        <f t="array" ref="H145">GetColumnName(C145,IF(B145=B144,H144,""))</f>
        <v>TableId</v>
      </c>
      <c r="I145" t="str">
        <f>H145</f>
        <v>TableId</v>
      </c>
      <c r="J145" t="str">
        <f>H145</f>
        <v>TableId</v>
      </c>
      <c r="K145" t="b">
        <v>1</v>
      </c>
      <c r="L145" t="b">
        <v>0</v>
      </c>
      <c r="M145" t="b">
        <v>0</v>
      </c>
      <c r="N145" t="b">
        <v>1</v>
      </c>
      <c r="O145" t="b">
        <v>0</v>
      </c>
      <c r="P145" t="b">
        <v>0</v>
      </c>
      <c r="Q145" t="b">
        <v>0</v>
      </c>
      <c r="R145" t="b">
        <v>0</v>
      </c>
      <c r="S145" t="b">
        <v>0</v>
      </c>
      <c r="T145" t="b">
        <v>0</v>
      </c>
    </row>
    <row r="146">
      <c r="A146">
        <f>ROW(A146)-1</f>
        <v>145</v>
      </c>
      <c r="B146">
        <v>22</v>
      </c>
      <c r="C146" t="str" cm="1">
        <f t="array" ref="C146">GetValue("Tbl","Alias",B146)</f>
        <v>Exp</v>
      </c>
      <c r="D146">
        <v>1</v>
      </c>
      <c r="E146" t="str" cm="1">
        <f t="array" ref="E146">GetValue("Dmn","Name",D146)</f>
        <v>BigInteger</v>
      </c>
      <c r="F146" t="str" cm="1">
        <f t="array" ref="F146">GetValue("Dmn","#CategoryName",D146)</f>
        <v>number</v>
      </c>
      <c r="G146">
        <f>IF(H146="Id",5,G145+5)</f>
        <v>15</v>
      </c>
      <c r="H146" t="str" cm="1">
        <f t="array" ref="H146">GetColumnName(C146,IF(B146=B145,H145,""))</f>
        <v>Name</v>
      </c>
      <c r="I146" t="str">
        <f>H146</f>
        <v>Name</v>
      </c>
      <c r="J146" t="str">
        <f>H146</f>
        <v>Name</v>
      </c>
      <c r="K146" t="b">
        <v>1</v>
      </c>
      <c r="L146" t="b">
        <v>0</v>
      </c>
      <c r="M146" t="b">
        <v>0</v>
      </c>
      <c r="N146" t="b">
        <v>1</v>
      </c>
      <c r="O146" t="b">
        <v>1</v>
      </c>
      <c r="P146" t="b">
        <v>1</v>
      </c>
      <c r="Q146" t="b">
        <v>1</v>
      </c>
      <c r="R146" t="b">
        <v>0</v>
      </c>
      <c r="S146" t="b">
        <v>0</v>
      </c>
      <c r="T146" t="b">
        <v>0</v>
      </c>
    </row>
    <row r="147">
      <c r="A147">
        <f>ROW(A147)-1</f>
        <v>146</v>
      </c>
      <c r="B147">
        <v>23</v>
      </c>
      <c r="C147" t="str" cm="1">
        <f t="array" ref="C147">GetValue("Tbl","Alias",B147)</f>
        <v>Cnd</v>
      </c>
      <c r="D147">
        <v>1</v>
      </c>
      <c r="E147" t="str" cm="1">
        <f t="array" ref="E147">GetValue("Dmn","Name",D147)</f>
        <v>BigInteger</v>
      </c>
      <c r="F147" t="str" cm="1">
        <f t="array" ref="F147">GetValue("Dmn","#CategoryName",D147)</f>
        <v>number</v>
      </c>
      <c r="G147">
        <f>IF(H147="Id",5,G146+5)</f>
        <v>5</v>
      </c>
      <c r="H147" t="str" cm="1">
        <f t="array" ref="H147">GetColumnName(C147,IF(B147=B146,H146,""))</f>
        <v>Id</v>
      </c>
      <c r="I147" t="str">
        <f>H147</f>
        <v>Id</v>
      </c>
      <c r="J147" t="str">
        <f>H147</f>
        <v>Id</v>
      </c>
      <c r="K147" t="b">
        <v>1</v>
      </c>
      <c r="L147" t="b">
        <v>1</v>
      </c>
      <c r="M147" t="b">
        <v>0</v>
      </c>
      <c r="N147" t="b">
        <v>1</v>
      </c>
      <c r="O147" t="b">
        <v>0</v>
      </c>
      <c r="P147" t="b">
        <v>0</v>
      </c>
      <c r="Q147" t="b">
        <v>0</v>
      </c>
      <c r="R147" t="b">
        <v>0</v>
      </c>
      <c r="S147" t="b">
        <v>0</v>
      </c>
      <c r="T147" t="b">
        <v>0</v>
      </c>
    </row>
    <row r="148">
      <c r="A148">
        <f>ROW(A148)-1</f>
        <v>147</v>
      </c>
      <c r="B148">
        <v>23</v>
      </c>
      <c r="C148" t="str" cm="1">
        <f t="array" ref="C148">GetValue("Tbl","Alias",B148)</f>
        <v>Cnd</v>
      </c>
      <c r="D148">
        <v>6</v>
      </c>
      <c r="E148" t="str" cm="1">
        <f t="array" ref="E148">GetValue("Dmn","Name",D148)</f>
        <v>Boolean</v>
      </c>
      <c r="F148" t="str" cm="1">
        <f t="array" ref="F148">GetValue("Dmn","#CategoryName",D148)</f>
        <v>boolean</v>
      </c>
      <c r="G148">
        <f>IF(H148="Id",5,G147+5)</f>
        <v>10</v>
      </c>
      <c r="H148" t="str" cm="1">
        <f t="array" ref="H148">GetColumnName(C148,IF(B148=B147,H147,""))</f>
        <v>ExpressionId</v>
      </c>
      <c r="I148" t="str">
        <f>H148</f>
        <v>ExpressionId</v>
      </c>
      <c r="J148" t="str">
        <f>H148</f>
        <v>ExpressionId</v>
      </c>
      <c r="K148" t="b">
        <v>1</v>
      </c>
      <c r="L148" t="b">
        <v>0</v>
      </c>
      <c r="M148" t="b">
        <v>0</v>
      </c>
      <c r="N148" t="b">
        <v>1</v>
      </c>
      <c r="O148" t="b">
        <v>1</v>
      </c>
      <c r="P148" t="b">
        <v>1</v>
      </c>
      <c r="Q148" t="b">
        <v>0</v>
      </c>
      <c r="R148" t="b">
        <v>0</v>
      </c>
      <c r="S148" t="b">
        <v>0</v>
      </c>
      <c r="T148" t="b">
        <v>0</v>
      </c>
    </row>
    <row r="149">
      <c r="A149">
        <f>ROW(A149)-1</f>
        <v>148</v>
      </c>
      <c r="B149">
        <v>23</v>
      </c>
      <c r="C149" t="str" cm="1">
        <f t="array" ref="C149">GetValue("Tbl","Alias",B149)</f>
        <v>Cnd</v>
      </c>
      <c r="D149">
        <v>1</v>
      </c>
      <c r="E149" t="str" cm="1">
        <f t="array" ref="E149">GetValue("Dmn","Name",D149)</f>
        <v>BigInteger</v>
      </c>
      <c r="F149" t="str" cm="1">
        <f t="array" ref="F149">GetValue("Dmn","#CategoryName",D149)</f>
        <v>number</v>
      </c>
      <c r="G149">
        <f>IF(H149="Id",5,G148+5)</f>
        <v>15</v>
      </c>
      <c r="H149" t="str" cm="1">
        <f t="array" ref="H149">GetColumnName(C149,IF(B149=B148,H148,""))</f>
        <v>Sequence</v>
      </c>
      <c r="I149" t="str">
        <f>H149</f>
        <v>Sequence</v>
      </c>
      <c r="J149" t="str">
        <f>H149</f>
        <v>Sequence</v>
      </c>
      <c r="K149" t="b">
        <v>1</v>
      </c>
      <c r="L149" t="b">
        <v>0</v>
      </c>
      <c r="M149" t="b">
        <v>0</v>
      </c>
      <c r="N149" t="b">
        <v>1</v>
      </c>
      <c r="O149" t="b">
        <v>0</v>
      </c>
      <c r="P149" t="b">
        <v>0</v>
      </c>
      <c r="Q149" t="b">
        <v>0</v>
      </c>
      <c r="R149" t="b">
        <v>0</v>
      </c>
      <c r="S149" t="b">
        <v>0</v>
      </c>
      <c r="T149" t="b">
        <v>0</v>
      </c>
    </row>
    <row r="150">
      <c r="A150">
        <f>ROW(A150)-1</f>
        <v>149</v>
      </c>
      <c r="B150">
        <v>23</v>
      </c>
      <c r="C150" t="str" cm="1">
        <f t="array" ref="C150">GetValue("Tbl","Alias",B150)</f>
        <v>Cnd</v>
      </c>
      <c r="D150">
        <v>1</v>
      </c>
      <c r="E150" t="str" cm="1">
        <f t="array" ref="E150">GetValue("Dmn","Name",D150)</f>
        <v>BigInteger</v>
      </c>
      <c r="F150" t="str" cm="1">
        <f t="array" ref="F150">GetValue("Dmn","#CategoryName",D150)</f>
        <v>number</v>
      </c>
      <c r="G150">
        <f>IF(H150="Id",5,G149+5)</f>
        <v>20</v>
      </c>
      <c r="H150" t="str" cm="1">
        <f t="array" ref="H150">GetColumnName(C150,IF(B150=B149,H149,""))</f>
        <v>Connector</v>
      </c>
      <c r="I150" t="str">
        <f>H150</f>
        <v>Connector</v>
      </c>
      <c r="J150" t="str">
        <f>H150</f>
        <v>Connector</v>
      </c>
      <c r="K150" t="b">
        <v>0</v>
      </c>
      <c r="L150" t="b">
        <v>0</v>
      </c>
      <c r="M150" t="b">
        <v>0</v>
      </c>
      <c r="N150" t="b">
        <v>1</v>
      </c>
      <c r="O150" t="b">
        <v>1</v>
      </c>
      <c r="P150" t="b">
        <v>1</v>
      </c>
      <c r="Q150" t="b">
        <v>0</v>
      </c>
      <c r="R150" t="b">
        <v>0</v>
      </c>
      <c r="S150" t="b">
        <v>0</v>
      </c>
      <c r="T150" t="b">
        <v>0</v>
      </c>
    </row>
    <row r="151">
      <c r="A151">
        <f>ROW(A151)-1</f>
        <v>150</v>
      </c>
      <c r="B151">
        <v>23</v>
      </c>
      <c r="C151" t="str" cm="1">
        <f t="array" ref="C151">GetValue("Tbl","Alias",B151)</f>
        <v>Cnd</v>
      </c>
      <c r="D151">
        <v>10</v>
      </c>
      <c r="E151" t="str" cm="1">
        <f t="array" ref="E151">GetValue("Dmn","Name",D151)</f>
        <v>NVARCHAR(25)</v>
      </c>
      <c r="F151" t="str" cm="1">
        <f t="array" ref="F151">GetValue("Dmn","#CategoryName",D151)</f>
        <v>string</v>
      </c>
      <c r="G151">
        <f>IF(H151="Id",5,G150+5)</f>
        <v>25</v>
      </c>
      <c r="H151" t="str" cm="1">
        <f t="array" ref="H151">GetColumnName(C151,IF(B151=B150,H150,""))</f>
        <v>LeftParenthesis</v>
      </c>
      <c r="I151" t="str">
        <f>H151</f>
        <v>LeftParenthesis</v>
      </c>
      <c r="J151" t="str">
        <f>H151</f>
        <v>LeftParenthesis</v>
      </c>
      <c r="K151" t="b">
        <v>0</v>
      </c>
      <c r="L151" t="b">
        <v>0</v>
      </c>
      <c r="M151" t="b">
        <v>0</v>
      </c>
      <c r="N151" t="b">
        <v>1</v>
      </c>
      <c r="O151" t="b">
        <v>1</v>
      </c>
      <c r="P151" t="b">
        <v>1</v>
      </c>
      <c r="Q151" t="b">
        <v>0</v>
      </c>
      <c r="R151" t="b">
        <v>0</v>
      </c>
      <c r="S151" t="b">
        <v>0</v>
      </c>
      <c r="T151" t="b">
        <v>0</v>
      </c>
    </row>
    <row r="152">
      <c r="A152">
        <f>ROW(A152)-1</f>
        <v>151</v>
      </c>
      <c r="B152">
        <v>23</v>
      </c>
      <c r="C152" t="str" cm="1">
        <f t="array" ref="C152">GetValue("Tbl","Alias",B152)</f>
        <v>Cnd</v>
      </c>
      <c r="D152">
        <v>1</v>
      </c>
      <c r="E152" t="str" cm="1">
        <f t="array" ref="E152">GetValue("Dmn","Name",D152)</f>
        <v>BigInteger</v>
      </c>
      <c r="F152" t="str" cm="1">
        <f t="array" ref="F152">GetValue("Dmn","#CategoryName",D152)</f>
        <v>number</v>
      </c>
      <c r="G152">
        <f>IF(H152="Id",5,G151+5)</f>
        <v>30</v>
      </c>
      <c r="H152" t="str" cm="1">
        <f t="array" ref="H152">GetColumnName(C152,IF(B152=B151,H151,""))</f>
        <v>LeftColumnId</v>
      </c>
      <c r="I152" t="str">
        <f>H152</f>
        <v>LeftColumnId</v>
      </c>
      <c r="J152" t="str">
        <f>H152</f>
        <v>LeftColumnId</v>
      </c>
      <c r="K152" t="b">
        <v>1</v>
      </c>
      <c r="L152" t="b">
        <v>0</v>
      </c>
      <c r="M152" t="b">
        <v>0</v>
      </c>
      <c r="N152" t="b">
        <v>1</v>
      </c>
      <c r="O152" t="b">
        <v>0</v>
      </c>
      <c r="P152" t="b">
        <v>0</v>
      </c>
      <c r="Q152" t="b">
        <v>0</v>
      </c>
      <c r="R152" t="b">
        <v>0</v>
      </c>
      <c r="S152" t="b">
        <v>0</v>
      </c>
      <c r="T152" t="b">
        <v>0</v>
      </c>
    </row>
    <row r="153">
      <c r="A153">
        <f>ROW(A153)-1</f>
        <v>152</v>
      </c>
      <c r="B153">
        <v>23</v>
      </c>
      <c r="C153" t="str" cm="1">
        <f t="array" ref="C153">GetValue("Tbl","Alias",B153)</f>
        <v>Cnd</v>
      </c>
      <c r="D153">
        <v>1</v>
      </c>
      <c r="E153" t="str" cm="1">
        <f t="array" ref="E153">GetValue("Dmn","Name",D153)</f>
        <v>BigInteger</v>
      </c>
      <c r="F153" t="str" cm="1">
        <f t="array" ref="F153">GetValue("Dmn","#CategoryName",D153)</f>
        <v>number</v>
      </c>
      <c r="G153">
        <f>IF(H153="Id",5,G152+5)</f>
        <v>35</v>
      </c>
      <c r="H153" t="str" cm="1">
        <f t="array" ref="H153">GetColumnName(C153,IF(B153=B152,H152,""))</f>
        <v>ComparatorId</v>
      </c>
      <c r="I153" t="str">
        <f>H153</f>
        <v>ComparatorId</v>
      </c>
      <c r="J153" t="str">
        <f>H153</f>
        <v>ComparatorId</v>
      </c>
      <c r="K153" t="b">
        <v>0</v>
      </c>
      <c r="L153" t="b">
        <v>0</v>
      </c>
      <c r="M153" t="b">
        <v>0</v>
      </c>
      <c r="N153" t="b">
        <v>1</v>
      </c>
      <c r="O153" t="b">
        <v>1</v>
      </c>
      <c r="P153" t="b">
        <v>1</v>
      </c>
      <c r="Q153" t="b">
        <v>0</v>
      </c>
      <c r="R153" t="b">
        <v>0</v>
      </c>
      <c r="S153" t="b">
        <v>0</v>
      </c>
      <c r="T153" t="b">
        <v>0</v>
      </c>
    </row>
    <row r="154">
      <c r="A154">
        <f>ROW(A154)-1</f>
        <v>153</v>
      </c>
      <c r="B154">
        <v>23</v>
      </c>
      <c r="C154" t="str" cm="1">
        <f t="array" ref="C154">GetValue("Tbl","Alias",B154)</f>
        <v>Cnd</v>
      </c>
      <c r="D154">
        <v>4</v>
      </c>
      <c r="E154" t="str" cm="1">
        <f t="array" ref="E154">GetValue("Dmn","Name",D154)</f>
        <v>SmallInteger</v>
      </c>
      <c r="F154" t="str" cm="1">
        <f t="array" ref="F154">GetValue("Dmn","#CategoryName",D154)</f>
        <v>number</v>
      </c>
      <c r="G154">
        <f>IF(H154="Id",5,G153+5)</f>
        <v>40</v>
      </c>
      <c r="H154" t="str" cm="1">
        <f t="array" ref="H154">GetColumnName(C154,IF(B154=B153,H153,""))</f>
        <v>RightColumnId</v>
      </c>
      <c r="I154" t="str">
        <f>H154</f>
        <v>RightColumnId</v>
      </c>
      <c r="J154" t="str">
        <f>H154</f>
        <v>RightColumnId</v>
      </c>
      <c r="K154" t="b">
        <v>0</v>
      </c>
      <c r="L154" t="b">
        <v>0</v>
      </c>
      <c r="M154" t="b">
        <v>0</v>
      </c>
      <c r="N154" t="b">
        <v>1</v>
      </c>
      <c r="O154" t="b">
        <v>1</v>
      </c>
      <c r="P154" t="b">
        <v>1</v>
      </c>
      <c r="Q154" t="b">
        <v>0</v>
      </c>
      <c r="R154" t="b">
        <v>0</v>
      </c>
      <c r="S154" t="b">
        <v>0</v>
      </c>
      <c r="T154" t="b">
        <v>0</v>
      </c>
    </row>
    <row r="155">
      <c r="A155">
        <f>ROW(A155)-1</f>
        <v>154</v>
      </c>
      <c r="B155">
        <v>23</v>
      </c>
      <c r="C155" t="str" cm="1">
        <f t="array" ref="C155">GetValue("Tbl","Alias",B155)</f>
        <v>Cnd</v>
      </c>
      <c r="D155">
        <v>8</v>
      </c>
      <c r="E155" t="str" cm="1">
        <f t="array" ref="E155">GetValue("Dmn","Name",D155)</f>
        <v>NVARCHAR(15)</v>
      </c>
      <c r="F155" t="str" cm="1">
        <f t="array" ref="F155">GetValue("Dmn","#CategoryName",D155)</f>
        <v>string</v>
      </c>
      <c r="G155">
        <f>IF(H155="Id",5,G154+5)</f>
        <v>45</v>
      </c>
      <c r="H155" t="str" cm="1">
        <f t="array" ref="H155">GetColumnName(C155,IF(B155=B154,H154,""))</f>
        <v>RightValues</v>
      </c>
      <c r="I155" t="str">
        <f>H155</f>
        <v>RightValues</v>
      </c>
      <c r="J155" t="str">
        <f>H155</f>
        <v>RightValues</v>
      </c>
      <c r="K155" t="b">
        <v>0</v>
      </c>
      <c r="L155" t="b">
        <v>0</v>
      </c>
      <c r="M155" t="b">
        <v>0</v>
      </c>
      <c r="N155" t="b">
        <v>1</v>
      </c>
      <c r="O155" t="b">
        <v>1</v>
      </c>
      <c r="P155" t="b">
        <v>1</v>
      </c>
      <c r="Q155" t="b">
        <v>0</v>
      </c>
      <c r="R155" t="b">
        <v>0</v>
      </c>
      <c r="S155" t="b">
        <v>0</v>
      </c>
      <c r="T155" t="b">
        <v>0</v>
      </c>
    </row>
    <row r="156">
      <c r="A156">
        <f>ROW(A156)-1</f>
        <v>155</v>
      </c>
      <c r="B156">
        <v>23</v>
      </c>
      <c r="C156" t="str" cm="1">
        <f t="array" ref="C156">GetValue("Tbl","Alias",B156)</f>
        <v>Cnd</v>
      </c>
      <c r="D156">
        <v>14</v>
      </c>
      <c r="E156" t="str" cm="1">
        <f t="array" ref="E156">GetValue("Dmn","Name",D156)</f>
        <v>NCHAR(1)</v>
      </c>
      <c r="F156" t="str" cm="1">
        <f t="array" ref="F156">GetValue("Dmn","#CategoryName",D156)</f>
        <v>string</v>
      </c>
      <c r="G156">
        <f>IF(H156="Id",5,G155+5)</f>
        <v>50</v>
      </c>
      <c r="H156" t="str" cm="1">
        <f t="array" ref="H156">GetColumnName(C156,IF(B156=B155,H155,""))</f>
        <v>RightParenthesis</v>
      </c>
      <c r="I156" t="str">
        <f>H156</f>
        <v>RightParenthesis</v>
      </c>
      <c r="J156" t="str">
        <f>H156</f>
        <v>RightParenthesis</v>
      </c>
      <c r="K156" t="b">
        <v>0</v>
      </c>
      <c r="L156" t="b">
        <v>0</v>
      </c>
      <c r="M156" t="b">
        <v>0</v>
      </c>
      <c r="N156" t="b">
        <v>1</v>
      </c>
      <c r="O156" t="b">
        <v>1</v>
      </c>
      <c r="P156" t="b">
        <v>1</v>
      </c>
      <c r="Q156" t="b">
        <v>0</v>
      </c>
      <c r="R156" t="b">
        <v>0</v>
      </c>
      <c r="S156" t="b">
        <v>0</v>
      </c>
      <c r="T156" t="b">
        <v>0</v>
      </c>
    </row>
    <row r="157">
      <c r="A157">
        <f>ROW(A157)-1</f>
        <v>156</v>
      </c>
      <c r="B157">
        <v>24</v>
      </c>
      <c r="C157" t="str" cm="1">
        <f t="array" ref="C157">GetValue("Tbl","Alias",B157)</f>
        <v>Ref</v>
      </c>
      <c r="D157">
        <v>8</v>
      </c>
      <c r="E157" t="str" cm="1">
        <f t="array" ref="E157">GetValue("Dmn","Name",D157)</f>
        <v>NVARCHAR(15)</v>
      </c>
      <c r="F157" t="str" cm="1">
        <f t="array" ref="F157">GetValue("Dmn","#CategoryName",D157)</f>
        <v>string</v>
      </c>
      <c r="G157">
        <f>IF(H157="Id",5,G156+5)</f>
        <v>5</v>
      </c>
      <c r="H157" t="str" cm="1">
        <f t="array" ref="H157">GetColumnName(C157,IF(B157=B156,H156,""))</f>
        <v>Id</v>
      </c>
      <c r="I157" t="str">
        <f>H157</f>
        <v>Id</v>
      </c>
      <c r="J157" t="str">
        <f>H157</f>
        <v>Id</v>
      </c>
      <c r="K157" t="b">
        <v>1</v>
      </c>
      <c r="L157" t="b">
        <v>1</v>
      </c>
      <c r="M157" t="b">
        <v>0</v>
      </c>
      <c r="N157" t="b">
        <v>1</v>
      </c>
      <c r="O157" t="b">
        <v>0</v>
      </c>
      <c r="P157" t="b">
        <v>0</v>
      </c>
      <c r="Q157" t="b">
        <v>0</v>
      </c>
      <c r="R157" t="b">
        <v>0</v>
      </c>
      <c r="S157" t="b">
        <v>0</v>
      </c>
      <c r="T157" t="b">
        <v>0</v>
      </c>
    </row>
    <row r="158">
      <c r="A158">
        <f>ROW(A158)-1</f>
        <v>157</v>
      </c>
      <c r="B158">
        <v>24</v>
      </c>
      <c r="C158" t="str" cm="1">
        <f t="array" ref="C158">GetValue("Tbl","Alias",B158)</f>
        <v>Ref</v>
      </c>
      <c r="D158">
        <v>1</v>
      </c>
      <c r="E158" t="str" cm="1">
        <f t="array" ref="E158">GetValue("Dmn","Name",D158)</f>
        <v>BigInteger</v>
      </c>
      <c r="F158" t="str" cm="1">
        <f t="array" ref="F158">GetValue("Dmn","#CategoryName",D158)</f>
        <v>number</v>
      </c>
      <c r="G158">
        <f>IF(H158="Id",5,G157+5)</f>
        <v>10</v>
      </c>
      <c r="H158" t="str" cm="1">
        <f t="array" ref="H158">GetColumnName(C158,IF(B158=B157,H157,""))</f>
        <v>FkTableId</v>
      </c>
      <c r="I158" t="str">
        <f>H158</f>
        <v>FkTableId</v>
      </c>
      <c r="J158" t="str">
        <f>H158</f>
        <v>FkTableId</v>
      </c>
      <c r="K158" t="b">
        <v>1</v>
      </c>
      <c r="L158" t="b">
        <v>0</v>
      </c>
      <c r="M158" t="b">
        <v>0</v>
      </c>
      <c r="N158" t="b">
        <v>1</v>
      </c>
      <c r="O158" t="b">
        <v>1</v>
      </c>
      <c r="P158" t="b">
        <v>1</v>
      </c>
      <c r="Q158" t="b">
        <v>0</v>
      </c>
      <c r="R158" t="b">
        <v>0</v>
      </c>
      <c r="S158" t="b">
        <v>0</v>
      </c>
      <c r="T158" t="b">
        <v>0</v>
      </c>
    </row>
    <row r="159">
      <c r="A159">
        <f>ROW(A159)-1</f>
        <v>158</v>
      </c>
      <c r="B159">
        <v>24</v>
      </c>
      <c r="C159" t="str" cm="1">
        <f t="array" ref="C159">GetValue("Tbl","Alias",B159)</f>
        <v>Ref</v>
      </c>
      <c r="D159">
        <v>1</v>
      </c>
      <c r="E159" t="str" cm="1">
        <f t="array" ref="E159">GetValue("Dmn","Name",D159)</f>
        <v>BigInteger</v>
      </c>
      <c r="F159" t="str" cm="1">
        <f t="array" ref="F159">GetValue("Dmn","#CategoryName",D159)</f>
        <v>number</v>
      </c>
      <c r="G159">
        <f>IF(H159="Id",5,G158+5)</f>
        <v>15</v>
      </c>
      <c r="H159" t="str" cm="1">
        <f t="array" ref="H159">GetColumnName(C159,IF(B159=B158,H158,""))</f>
        <v>PkTableId</v>
      </c>
      <c r="I159" t="str">
        <f>H159</f>
        <v>PkTableId</v>
      </c>
      <c r="J159" t="str">
        <f>H159</f>
        <v>PkTableId</v>
      </c>
      <c r="K159" t="b">
        <v>0</v>
      </c>
      <c r="L159" t="b">
        <v>0</v>
      </c>
      <c r="M159" t="b">
        <v>0</v>
      </c>
      <c r="N159" t="b">
        <v>1</v>
      </c>
      <c r="O159" t="b">
        <v>1</v>
      </c>
      <c r="P159" t="b">
        <v>1</v>
      </c>
      <c r="Q159" t="b">
        <v>0</v>
      </c>
      <c r="R159" t="b">
        <v>0</v>
      </c>
      <c r="S159" t="b">
        <v>0</v>
      </c>
      <c r="T159" t="b">
        <v>0</v>
      </c>
    </row>
    <row r="160">
      <c r="A160">
        <f>ROW(A160)-1</f>
        <v>159</v>
      </c>
      <c r="B160">
        <v>24</v>
      </c>
      <c r="C160" t="str" cm="1">
        <f t="array" ref="C160">GetValue("Tbl","Alias",B160)</f>
        <v>Ref</v>
      </c>
      <c r="D160">
        <v>42</v>
      </c>
      <c r="E160" t="str" cm="1">
        <f t="array" ref="E160">GetValue("Dmn","Name",D160)</f>
        <v>VARIANT</v>
      </c>
      <c r="F160" t="str" cm="1">
        <f t="array" ref="F160">GetValue("Dmn","#CategoryName",D160)</f>
        <v>text</v>
      </c>
      <c r="G160">
        <f>IF(H160="Id",5,G159+5)</f>
        <v>20</v>
      </c>
      <c r="H160" t="str" cm="1">
        <f t="array" ref="H160">GetColumnName(C160,IF(B160=B159,H159,""))</f>
        <v>Name</v>
      </c>
      <c r="I160" t="str">
        <f>H160</f>
        <v>Name</v>
      </c>
      <c r="J160" t="str">
        <f>H160</f>
        <v>Name</v>
      </c>
      <c r="K160" t="b">
        <v>0</v>
      </c>
      <c r="L160" t="b">
        <v>0</v>
      </c>
      <c r="M160" t="b">
        <v>0</v>
      </c>
      <c r="N160" t="b">
        <v>1</v>
      </c>
      <c r="O160" t="b">
        <v>1</v>
      </c>
      <c r="P160" t="b">
        <v>1</v>
      </c>
      <c r="Q160" t="b">
        <v>1</v>
      </c>
      <c r="R160" t="b">
        <v>0</v>
      </c>
      <c r="S160" t="b">
        <v>0</v>
      </c>
      <c r="T160" t="b">
        <v>0</v>
      </c>
    </row>
    <row r="161">
      <c r="A161">
        <f>ROW(A161)-1</f>
        <v>160</v>
      </c>
      <c r="B161">
        <v>24</v>
      </c>
      <c r="C161" t="str" cm="1">
        <f t="array" ref="C161">GetValue("Tbl","Alias",B161)</f>
        <v>Ref</v>
      </c>
      <c r="D161">
        <v>8</v>
      </c>
      <c r="E161" t="str" cm="1">
        <f t="array" ref="E161">GetValue("Dmn","Name",D161)</f>
        <v>NVARCHAR(15)</v>
      </c>
      <c r="F161" t="str" cm="1">
        <f t="array" ref="F161">GetValue("Dmn","#CategoryName",D161)</f>
        <v>string</v>
      </c>
      <c r="G161">
        <f>IF(H161="Id",5,G160+5)</f>
        <v>25</v>
      </c>
      <c r="H161" t="str" cm="1">
        <f t="array" ref="H161">GetColumnName(C161,IF(B161=B160,H160,""))</f>
        <v>IsParentChildren</v>
      </c>
      <c r="I161" t="str">
        <f>H161</f>
        <v>IsParentChildren</v>
      </c>
      <c r="J161" t="str">
        <f>H161</f>
        <v>IsParentChildren</v>
      </c>
      <c r="K161" t="b">
        <v>0</v>
      </c>
      <c r="L161" t="b">
        <v>0</v>
      </c>
      <c r="M161" t="b">
        <v>0</v>
      </c>
      <c r="N161" t="b">
        <v>1</v>
      </c>
      <c r="O161" t="b">
        <v>1</v>
      </c>
      <c r="P161" t="b">
        <v>1</v>
      </c>
      <c r="Q161" t="b">
        <v>0</v>
      </c>
      <c r="R161" t="b">
        <v>0</v>
      </c>
      <c r="S161" t="b">
        <v>0</v>
      </c>
      <c r="T161" t="b">
        <v>0</v>
      </c>
    </row>
    <row r="162">
      <c r="A162">
        <f>ROW(A162)-1</f>
        <v>161</v>
      </c>
      <c r="B162">
        <v>25</v>
      </c>
      <c r="C162" t="str" cm="1">
        <f t="array" ref="C162">GetValue("Tbl","Alias",B162)</f>
        <v>Rfk</v>
      </c>
      <c r="D162">
        <v>1</v>
      </c>
      <c r="E162" t="str" cm="1">
        <f t="array" ref="E162">GetValue("Dmn","Name",D162)</f>
        <v>BigInteger</v>
      </c>
      <c r="F162" t="str" cm="1">
        <f t="array" ref="F162">GetValue("Dmn","#CategoryName",D162)</f>
        <v>number</v>
      </c>
      <c r="G162">
        <f>IF(H162="Id",5,G161+5)</f>
        <v>5</v>
      </c>
      <c r="H162" t="str" cm="1">
        <f t="array" ref="H162">GetColumnName(C162,IF(B162=B161,H161,""))</f>
        <v>Id</v>
      </c>
      <c r="I162" t="str">
        <f>H162</f>
        <v>Id</v>
      </c>
      <c r="J162" t="str">
        <f>H162</f>
        <v>Id</v>
      </c>
      <c r="K162" t="b">
        <v>1</v>
      </c>
      <c r="L162" t="b">
        <v>1</v>
      </c>
      <c r="M162" t="b">
        <v>0</v>
      </c>
      <c r="N162" t="b">
        <v>1</v>
      </c>
      <c r="O162" t="b">
        <v>0</v>
      </c>
      <c r="P162" t="b">
        <v>0</v>
      </c>
      <c r="Q162" t="b">
        <v>0</v>
      </c>
      <c r="R162" t="b">
        <v>0</v>
      </c>
      <c r="S162" t="b">
        <v>0</v>
      </c>
      <c r="T162" t="b">
        <v>0</v>
      </c>
    </row>
    <row r="163">
      <c r="A163">
        <f>ROW(A163)-1</f>
        <v>162</v>
      </c>
      <c r="B163">
        <v>25</v>
      </c>
      <c r="C163" t="str" cm="1">
        <f t="array" ref="C163">GetValue("Tbl","Alias",B163)</f>
        <v>Rfk</v>
      </c>
      <c r="D163">
        <v>1</v>
      </c>
      <c r="E163" t="str" cm="1">
        <f t="array" ref="E163">GetValue("Dmn","Name",D163)</f>
        <v>BigInteger</v>
      </c>
      <c r="F163" t="str" cm="1">
        <f t="array" ref="F163">GetValue("Dmn","#CategoryName",D163)</f>
        <v>number</v>
      </c>
      <c r="G163">
        <f>IF(H163="Id",5,G162+5)</f>
        <v>10</v>
      </c>
      <c r="H163" t="str" cm="1">
        <f t="array" ref="H163">GetColumnName(C163,IF(B163=B162,H162,""))</f>
        <v>ReferenceId</v>
      </c>
      <c r="I163" t="str">
        <f>H163</f>
        <v>ReferenceId</v>
      </c>
      <c r="J163" t="str">
        <f>H163</f>
        <v>ReferenceId</v>
      </c>
      <c r="K163" t="b">
        <v>1</v>
      </c>
      <c r="L163" t="b">
        <v>0</v>
      </c>
      <c r="M163" t="b">
        <v>0</v>
      </c>
      <c r="N163" t="b">
        <v>1</v>
      </c>
      <c r="O163" t="b">
        <v>1</v>
      </c>
      <c r="P163" t="b">
        <v>1</v>
      </c>
      <c r="Q163" t="b">
        <v>0</v>
      </c>
      <c r="R163" t="b">
        <v>0</v>
      </c>
      <c r="S163" t="b">
        <v>0</v>
      </c>
      <c r="T163" t="b">
        <v>0</v>
      </c>
    </row>
    <row r="164">
      <c r="A164">
        <f>ROW(A164)-1</f>
        <v>163</v>
      </c>
      <c r="B164">
        <v>25</v>
      </c>
      <c r="C164" t="str" cm="1">
        <f t="array" ref="C164">GetValue("Tbl","Alias",B164)</f>
        <v>Rfk</v>
      </c>
      <c r="D164">
        <v>1</v>
      </c>
      <c r="E164" t="str" cm="1">
        <f t="array" ref="E164">GetValue("Dmn","Name",D164)</f>
        <v>BigInteger</v>
      </c>
      <c r="F164" t="str" cm="1">
        <f t="array" ref="F164">GetValue("Dmn","#CategoryName",D164)</f>
        <v>number</v>
      </c>
      <c r="G164">
        <f>IF(H164="Id",5,G163+5)</f>
        <v>15</v>
      </c>
      <c r="H164" t="str" cm="1">
        <f t="array" ref="H164">GetColumnName(C164,IF(B164=B163,H163,""))</f>
        <v>FkColumnId</v>
      </c>
      <c r="I164" t="str">
        <f>H164</f>
        <v>FkColumnId</v>
      </c>
      <c r="J164" t="str">
        <f>H164</f>
        <v>FkColumnId</v>
      </c>
      <c r="K164" t="b">
        <v>0</v>
      </c>
      <c r="L164" t="b">
        <v>0</v>
      </c>
      <c r="M164" t="b">
        <v>0</v>
      </c>
      <c r="N164" t="b">
        <v>1</v>
      </c>
      <c r="O164" t="b">
        <v>1</v>
      </c>
      <c r="P164" t="b">
        <v>1</v>
      </c>
      <c r="Q164" t="b">
        <v>0</v>
      </c>
      <c r="R164" t="b">
        <v>0</v>
      </c>
      <c r="S164" t="b">
        <v>0</v>
      </c>
      <c r="T164" t="b">
        <v>0</v>
      </c>
    </row>
    <row r="165">
      <c r="A165">
        <f>ROW(A165)-1</f>
        <v>164</v>
      </c>
      <c r="B165">
        <v>25</v>
      </c>
      <c r="C165" t="str" cm="1">
        <f t="array" ref="C165">GetValue("Tbl","Alias",B165)</f>
        <v>Rfk</v>
      </c>
      <c r="D165">
        <v>1</v>
      </c>
      <c r="E165" t="str" cm="1">
        <f t="array" ref="E165">GetValue("Dmn","Name",D165)</f>
        <v>BigInteger</v>
      </c>
      <c r="F165" t="str" cm="1">
        <f t="array" ref="F165">GetValue("Dmn","#CategoryName",D165)</f>
        <v>number</v>
      </c>
      <c r="G165">
        <f>IF(H165="Id",5,G164+5)</f>
        <v>20</v>
      </c>
      <c r="H165" t="str" cm="1">
        <f t="array" ref="H165">GetColumnName(C165,IF(B165=B164,H164,""))</f>
        <v>Sequence</v>
      </c>
      <c r="I165" t="str">
        <f>H165</f>
        <v>Sequence</v>
      </c>
      <c r="J165" t="str">
        <f>H165</f>
        <v>Sequence</v>
      </c>
      <c r="K165" t="b">
        <v>1</v>
      </c>
      <c r="L165" t="b">
        <v>0</v>
      </c>
      <c r="M165" t="b">
        <v>0</v>
      </c>
      <c r="N165" t="b">
        <v>0</v>
      </c>
      <c r="O165" t="b">
        <v>1</v>
      </c>
      <c r="P165" t="b">
        <v>1</v>
      </c>
      <c r="Q165" t="b">
        <v>0</v>
      </c>
      <c r="R165" t="b">
        <v>0</v>
      </c>
      <c r="S165" t="b">
        <v>0</v>
      </c>
      <c r="T165" t="b">
        <v>0</v>
      </c>
    </row>
    <row r="166">
      <c r="A166">
        <f>ROW(A166)-1</f>
        <v>165</v>
      </c>
      <c r="B166">
        <v>26</v>
      </c>
      <c r="C166" t="str" cm="1">
        <f t="array" ref="C166">GetValue("Tbl","Alias",B166)</f>
        <v>Usr</v>
      </c>
      <c r="D166">
        <v>9</v>
      </c>
      <c r="E166" t="str" cm="1">
        <f t="array" ref="E166">GetValue("Dmn","Name",D166)</f>
        <v>NVARCHAR(20)</v>
      </c>
      <c r="F166" t="str" cm="1">
        <f t="array" ref="F166">GetValue("Dmn","#CategoryName",D166)</f>
        <v>string</v>
      </c>
      <c r="G166">
        <f>IF(H166="Id",5,G165+5)</f>
        <v>5</v>
      </c>
      <c r="H166" t="str" cm="1">
        <f t="array" ref="H166">GetColumnName(C166,IF(B166=B165,H165,""))</f>
        <v>Id</v>
      </c>
      <c r="I166" t="str">
        <f>H166</f>
        <v>Id</v>
      </c>
      <c r="J166" t="str">
        <f>H166</f>
        <v>Id</v>
      </c>
      <c r="K166" t="b">
        <v>1</v>
      </c>
      <c r="L166" t="b">
        <v>1</v>
      </c>
      <c r="M166" t="b">
        <v>1</v>
      </c>
      <c r="N166" t="b">
        <v>1</v>
      </c>
      <c r="O166" t="b">
        <v>0</v>
      </c>
      <c r="P166" t="b">
        <v>0</v>
      </c>
      <c r="Q166" t="b">
        <v>0</v>
      </c>
      <c r="R166" t="b">
        <v>0</v>
      </c>
      <c r="S166" t="b">
        <v>0</v>
      </c>
      <c r="T166" t="b">
        <v>0</v>
      </c>
    </row>
    <row r="167">
      <c r="A167">
        <f>ROW(A167)-1</f>
        <v>166</v>
      </c>
      <c r="B167">
        <v>26</v>
      </c>
      <c r="C167" t="str" cm="1">
        <f t="array" ref="C167">GetValue("Tbl","Alias",B167)</f>
        <v>Usr</v>
      </c>
      <c r="D167">
        <v>1</v>
      </c>
      <c r="E167" t="str" cm="1">
        <f t="array" ref="E167">GetValue("Dmn","Name",D167)</f>
        <v>BigInteger</v>
      </c>
      <c r="F167" t="str" cm="1">
        <f t="array" ref="F167">GetValue("Dmn","#CategoryName",D167)</f>
        <v>number</v>
      </c>
      <c r="G167">
        <f>IF(H167="Id",5,G166+5)</f>
        <v>10</v>
      </c>
      <c r="H167" t="str" cm="1">
        <f t="array" ref="H167">GetColumnName(C167,IF(B167=B166,H166,""))</f>
        <v>OwnertId</v>
      </c>
      <c r="I167" t="str">
        <f>H167</f>
        <v>OwnertId</v>
      </c>
      <c r="J167" t="str">
        <f>H167</f>
        <v>OwnertId</v>
      </c>
      <c r="K167" t="b">
        <v>1</v>
      </c>
      <c r="L167" t="b">
        <v>0</v>
      </c>
      <c r="M167" t="b">
        <v>0</v>
      </c>
      <c r="N167" t="b">
        <v>1</v>
      </c>
      <c r="O167" t="b">
        <v>0</v>
      </c>
      <c r="P167" t="b">
        <v>0</v>
      </c>
      <c r="Q167" t="b">
        <v>0</v>
      </c>
      <c r="R167" t="b">
        <v>0</v>
      </c>
      <c r="S167" t="b">
        <v>0</v>
      </c>
      <c r="T167" t="b">
        <v>0</v>
      </c>
    </row>
    <row r="168">
      <c r="A168">
        <f>ROW(A168)-1</f>
        <v>167</v>
      </c>
      <c r="B168">
        <v>26</v>
      </c>
      <c r="C168" t="str" cm="1">
        <f t="array" ref="C168">GetValue("Tbl","Alias",B168)</f>
        <v>Usr</v>
      </c>
      <c r="D168">
        <v>1</v>
      </c>
      <c r="E168" t="str" cm="1">
        <f t="array" ref="E168">GetValue("Dmn","Name",D168)</f>
        <v>BigInteger</v>
      </c>
      <c r="F168" t="str" cm="1">
        <f t="array" ref="F168">GetValue("Dmn","#CategoryName",D168)</f>
        <v>number</v>
      </c>
      <c r="G168">
        <f>IF(H168="Id",5,G167+5)</f>
        <v>15</v>
      </c>
      <c r="H168" t="str" cm="1">
        <f t="array" ref="H168">GetColumnName(C168,IF(B168=B167,H167,""))</f>
        <v>Name</v>
      </c>
      <c r="I168" t="str">
        <f>H168</f>
        <v>Name</v>
      </c>
      <c r="J168" t="str">
        <f>H168</f>
        <v>Name</v>
      </c>
      <c r="K168" t="b">
        <v>1</v>
      </c>
      <c r="L168" t="b">
        <v>0</v>
      </c>
      <c r="M168" t="b">
        <v>0</v>
      </c>
      <c r="N168" t="b">
        <v>1</v>
      </c>
      <c r="O168" t="b">
        <v>1</v>
      </c>
      <c r="P168" t="b">
        <v>1</v>
      </c>
      <c r="Q168" t="b">
        <v>1</v>
      </c>
      <c r="R168" t="b">
        <v>0</v>
      </c>
      <c r="S168" t="b">
        <v>0</v>
      </c>
      <c r="T168" t="b">
        <v>0</v>
      </c>
    </row>
    <row r="169">
      <c r="A169">
        <f>ROW(A169)-1</f>
        <v>168</v>
      </c>
      <c r="B169">
        <v>26</v>
      </c>
      <c r="C169" t="str" cm="1">
        <f t="array" ref="C169">GetValue("Tbl","Alias",B169)</f>
        <v>Usr</v>
      </c>
      <c r="D169">
        <v>10</v>
      </c>
      <c r="E169" t="str" cm="1">
        <f t="array" ref="E169">GetValue("Dmn","Name",D169)</f>
        <v>NVARCHAR(25)</v>
      </c>
      <c r="F169" t="str" cm="1">
        <f t="array" ref="F169">GetValue("Dmn","#CategoryName",D169)</f>
        <v>string</v>
      </c>
      <c r="G169">
        <f>IF(H169="Id",5,G168+5)</f>
        <v>20</v>
      </c>
      <c r="H169" t="str" cm="1">
        <f t="array" ref="H169">GetColumnName(C169,IF(B169=B168,H168,""))</f>
        <v>Password</v>
      </c>
      <c r="I169" t="str">
        <f>H169</f>
        <v>Password</v>
      </c>
      <c r="J169" t="str">
        <f>H169</f>
        <v>Password</v>
      </c>
      <c r="K169" t="b">
        <v>1</v>
      </c>
      <c r="L169" t="b">
        <v>0</v>
      </c>
      <c r="M169" t="b">
        <v>0</v>
      </c>
      <c r="N169" t="b">
        <v>0</v>
      </c>
      <c r="O169" t="b">
        <v>1</v>
      </c>
      <c r="P169" t="b">
        <v>0</v>
      </c>
      <c r="Q169" t="b">
        <v>0</v>
      </c>
      <c r="R169" t="b">
        <v>0</v>
      </c>
      <c r="S169" t="b">
        <v>0</v>
      </c>
      <c r="T169" t="b">
        <v>0</v>
      </c>
    </row>
    <row r="170">
      <c r="A170">
        <f>ROW(A170)-1</f>
        <v>169</v>
      </c>
      <c r="B170">
        <v>26</v>
      </c>
      <c r="C170" t="str" cm="1">
        <f t="array" ref="C170">GetValue("Tbl","Alias",B170)</f>
        <v>Usr</v>
      </c>
      <c r="D170">
        <v>19</v>
      </c>
      <c r="E170" t="str" cm="1">
        <f t="array" ref="E170">GetValue("Dmn","Name",D170)</f>
        <v>VARCHAR(256)</v>
      </c>
      <c r="F170" t="str" cm="1">
        <f t="array" ref="F170">GetValue("Dmn","#CategoryName",D170)</f>
        <v>string</v>
      </c>
      <c r="G170">
        <f>IF(H170="Id",5,G169+5)</f>
        <v>25</v>
      </c>
      <c r="H170" t="str" cm="1">
        <f t="array" ref="H170">GetColumnName(C170,IF(B170=B169,H169,""))</f>
        <v>RetryLogins</v>
      </c>
      <c r="I170" t="str">
        <f>H170</f>
        <v>RetryLogins</v>
      </c>
      <c r="J170" t="str">
        <f>H170</f>
        <v>RetryLogins</v>
      </c>
      <c r="K170" t="b">
        <v>1</v>
      </c>
      <c r="L170" t="b">
        <v>0</v>
      </c>
      <c r="M170" t="b">
        <v>0</v>
      </c>
      <c r="N170" t="b">
        <v>0</v>
      </c>
      <c r="O170" t="b">
        <v>1</v>
      </c>
      <c r="P170" t="b">
        <v>1</v>
      </c>
      <c r="Q170" t="b">
        <v>0</v>
      </c>
      <c r="R170" t="b">
        <v>0</v>
      </c>
      <c r="S170" t="b">
        <v>0</v>
      </c>
      <c r="T170" t="b">
        <v>0</v>
      </c>
    </row>
    <row r="171">
      <c r="A171">
        <f>ROW(A171)-1</f>
        <v>170</v>
      </c>
      <c r="B171">
        <v>26</v>
      </c>
      <c r="C171" t="str" cm="1">
        <f t="array" ref="C171">GetValue("Tbl","Alias",B171)</f>
        <v>Usr</v>
      </c>
      <c r="D171">
        <v>5</v>
      </c>
      <c r="E171" t="str" cm="1">
        <f t="array" ref="E171">GetValue("Dmn","Name",D171)</f>
        <v>TinyInteger</v>
      </c>
      <c r="F171" t="str" cm="1">
        <f t="array" ref="F171">GetValue("Dmn","#CategoryName",D171)</f>
        <v>number</v>
      </c>
      <c r="G171">
        <f>IF(H171="Id",5,G170+5)</f>
        <v>30</v>
      </c>
      <c r="H171" t="str" cm="1">
        <f t="array" ref="H171">GetColumnName(C171,IF(B171=B170,H170,""))</f>
        <v>IsActive</v>
      </c>
      <c r="I171" t="str">
        <f>H171</f>
        <v>IsActive</v>
      </c>
      <c r="J171" t="str">
        <f>H171</f>
        <v>IsActive</v>
      </c>
      <c r="K171" t="b">
        <v>1</v>
      </c>
      <c r="L171" t="b">
        <v>0</v>
      </c>
      <c r="M171" t="b">
        <v>0</v>
      </c>
      <c r="N171" t="b">
        <v>1</v>
      </c>
      <c r="O171" t="b">
        <v>1</v>
      </c>
      <c r="P171" t="b">
        <v>1</v>
      </c>
      <c r="Q171" t="b">
        <v>0</v>
      </c>
      <c r="R171" t="b">
        <v>0</v>
      </c>
      <c r="S171" t="b">
        <v>0</v>
      </c>
      <c r="T171" t="b">
        <v>0</v>
      </c>
    </row>
    <row r="172">
      <c r="A172">
        <f>ROW(A172)-1</f>
        <v>171</v>
      </c>
      <c r="B172">
        <v>27</v>
      </c>
      <c r="C172" t="str" cm="1">
        <f t="array" ref="C172">GetValue("Tbl","Alias",B172)</f>
        <v>Prm</v>
      </c>
      <c r="D172">
        <v>6</v>
      </c>
      <c r="E172" t="str" cm="1">
        <f t="array" ref="E172">GetValue("Dmn","Name",D172)</f>
        <v>Boolean</v>
      </c>
      <c r="F172" t="str" cm="1">
        <f t="array" ref="F172">GetValue("Dmn","#CategoryName",D172)</f>
        <v>boolean</v>
      </c>
      <c r="G172">
        <f>IF(H172="Id",5,G171+5)</f>
        <v>5</v>
      </c>
      <c r="H172" t="str" cm="1">
        <f t="array" ref="H172">GetColumnName(C172,IF(B172=B171,H171,""))</f>
        <v>Id</v>
      </c>
      <c r="I172" t="str">
        <f>H172</f>
        <v>Id</v>
      </c>
      <c r="J172" t="str">
        <f>H172</f>
        <v>Id</v>
      </c>
      <c r="K172" t="b">
        <v>1</v>
      </c>
      <c r="L172" t="b">
        <v>1</v>
      </c>
      <c r="M172" t="b">
        <v>1</v>
      </c>
      <c r="N172" t="b">
        <v>1</v>
      </c>
      <c r="O172" t="b">
        <v>0</v>
      </c>
      <c r="P172" t="b">
        <v>0</v>
      </c>
      <c r="Q172" t="b">
        <v>0</v>
      </c>
      <c r="R172" t="b">
        <v>0</v>
      </c>
      <c r="S172" t="b">
        <v>0</v>
      </c>
      <c r="T172" t="b">
        <v>0</v>
      </c>
    </row>
    <row r="173">
      <c r="A173">
        <f>ROW(A173)-1</f>
        <v>172</v>
      </c>
      <c r="B173">
        <v>27</v>
      </c>
      <c r="C173" t="str" cm="1">
        <f t="array" ref="C173">GetValue("Tbl","Alias",B173)</f>
        <v>Prm</v>
      </c>
      <c r="D173">
        <v>1</v>
      </c>
      <c r="E173" t="str" cm="1">
        <f t="array" ref="E173">GetValue("Dmn","Name",D173)</f>
        <v>BigInteger</v>
      </c>
      <c r="F173" t="str" cm="1">
        <f t="array" ref="F173">GetValue("Dmn","#CategoryName",D173)</f>
        <v>number</v>
      </c>
      <c r="G173">
        <f>IF(H173="Id",5,G172+5)</f>
        <v>10</v>
      </c>
      <c r="H173" t="str" cm="1">
        <f t="array" ref="H173">GetColumnName(C173,IF(B173=B172,H172,""))</f>
        <v>SystemId</v>
      </c>
      <c r="I173" t="str">
        <f>H173</f>
        <v>SystemId</v>
      </c>
      <c r="J173" t="str">
        <f>H173</f>
        <v>SystemId</v>
      </c>
      <c r="K173" t="b">
        <v>1</v>
      </c>
      <c r="L173" t="b">
        <v>0</v>
      </c>
      <c r="M173" t="b">
        <v>0</v>
      </c>
      <c r="N173" t="b">
        <v>1</v>
      </c>
      <c r="O173" t="b">
        <v>0</v>
      </c>
      <c r="P173" t="b">
        <v>0</v>
      </c>
      <c r="Q173" t="b">
        <v>0</v>
      </c>
      <c r="R173" t="b">
        <v>0</v>
      </c>
      <c r="S173" t="b">
        <v>0</v>
      </c>
      <c r="T173" t="b">
        <v>0</v>
      </c>
    </row>
    <row r="174">
      <c r="A174">
        <f>ROW(A174)-1</f>
        <v>173</v>
      </c>
      <c r="B174">
        <v>27</v>
      </c>
      <c r="C174" t="str" cm="1">
        <f t="array" ref="C174">GetValue("Tbl","Alias",B174)</f>
        <v>Prm</v>
      </c>
      <c r="D174">
        <v>1</v>
      </c>
      <c r="E174" t="str" cm="1">
        <f t="array" ref="E174">GetValue("Dmn","Name",D174)</f>
        <v>BigInteger</v>
      </c>
      <c r="F174" t="str" cm="1">
        <f t="array" ref="F174">GetValue("Dmn","#CategoryName",D174)</f>
        <v>number</v>
      </c>
      <c r="G174">
        <f>IF(H174="Id",5,G173+5)</f>
        <v>15</v>
      </c>
      <c r="H174" t="str" cm="1">
        <f t="array" ref="H174">GetColumnName(C174,IF(B174=B173,H173,""))</f>
        <v>UserId</v>
      </c>
      <c r="I174" t="str">
        <f>H174</f>
        <v>UserId</v>
      </c>
      <c r="J174" t="str">
        <f>H174</f>
        <v>UserId</v>
      </c>
      <c r="K174" t="b">
        <v>1</v>
      </c>
      <c r="L174" t="b">
        <v>0</v>
      </c>
      <c r="M174" t="b">
        <v>0</v>
      </c>
      <c r="N174" t="b">
        <v>1</v>
      </c>
      <c r="O174" t="b">
        <v>1</v>
      </c>
      <c r="P174" t="b">
        <v>1</v>
      </c>
      <c r="Q174" t="b">
        <v>0</v>
      </c>
      <c r="R174" t="b">
        <v>0</v>
      </c>
      <c r="S174" t="b">
        <v>0</v>
      </c>
      <c r="T174" t="b">
        <v>0</v>
      </c>
    </row>
    <row r="175">
      <c r="A175">
        <f>ROW(A175)-1</f>
        <v>174</v>
      </c>
      <c r="B175">
        <v>27</v>
      </c>
      <c r="C175" t="str" cm="1">
        <f t="array" ref="C175">GetValue("Tbl","Alias",B175)</f>
        <v>Prm</v>
      </c>
      <c r="D175">
        <v>1</v>
      </c>
      <c r="E175" t="str" cm="1">
        <f t="array" ref="E175">GetValue("Dmn","Name",D175)</f>
        <v>BigInteger</v>
      </c>
      <c r="F175" t="str" cm="1">
        <f t="array" ref="F175">GetValue("Dmn","#CategoryName",D175)</f>
        <v>number</v>
      </c>
      <c r="G175">
        <f>IF(H175="Id",5,G174+5)</f>
        <v>20</v>
      </c>
      <c r="H175" t="str" cm="1">
        <f t="array" ref="H175">GetColumnName(C175,IF(B175=B174,H174,""))</f>
        <v>TableId</v>
      </c>
      <c r="I175" t="str">
        <f>H175</f>
        <v>TableId</v>
      </c>
      <c r="J175" t="str">
        <f>H175</f>
        <v>TableId</v>
      </c>
      <c r="K175" t="b">
        <v>1</v>
      </c>
      <c r="L175" t="b">
        <v>0</v>
      </c>
      <c r="M175" t="b">
        <v>0</v>
      </c>
      <c r="N175" t="b">
        <v>1</v>
      </c>
      <c r="O175" t="b">
        <v>1</v>
      </c>
      <c r="P175" t="b">
        <v>1</v>
      </c>
      <c r="Q175" t="b">
        <v>0</v>
      </c>
      <c r="R175" t="b">
        <v>0</v>
      </c>
      <c r="S175" t="b">
        <v>0</v>
      </c>
      <c r="T175" t="b">
        <v>0</v>
      </c>
    </row>
    <row r="176">
      <c r="A176">
        <f>ROW(A176)-1</f>
        <v>175</v>
      </c>
      <c r="B176">
        <v>27</v>
      </c>
      <c r="C176" t="str" cm="1">
        <f t="array" ref="C176">GetValue("Tbl","Alias",B176)</f>
        <v>Prm</v>
      </c>
      <c r="D176">
        <v>1</v>
      </c>
      <c r="E176" t="str" cm="1">
        <f t="array" ref="E176">GetValue("Dmn","Name",D176)</f>
        <v>BigInteger</v>
      </c>
      <c r="F176" t="str" cm="1">
        <f t="array" ref="F176">GetValue("Dmn","#CategoryName",D176)</f>
        <v>number</v>
      </c>
      <c r="G176">
        <f>IF(H176="Id",5,G175+5)</f>
        <v>25</v>
      </c>
      <c r="H176" t="str" cm="1">
        <f t="array" ref="H176">GetColumnName(C176,IF(B176=B175,H175,""))</f>
        <v>CanCreate</v>
      </c>
      <c r="I176" t="str">
        <f>H176</f>
        <v>CanCreate</v>
      </c>
      <c r="J176" t="str">
        <f>H176</f>
        <v>CanCreate</v>
      </c>
      <c r="K176" t="b">
        <v>0</v>
      </c>
      <c r="L176" t="b">
        <v>0</v>
      </c>
      <c r="M176" t="b">
        <v>0</v>
      </c>
      <c r="N176" t="b">
        <v>1</v>
      </c>
      <c r="O176" t="b">
        <v>1</v>
      </c>
      <c r="P176" t="b">
        <v>1</v>
      </c>
      <c r="Q176" t="b">
        <v>0</v>
      </c>
      <c r="R176" t="b">
        <v>0</v>
      </c>
      <c r="S176" t="b">
        <v>0</v>
      </c>
      <c r="T176" t="b">
        <v>0</v>
      </c>
    </row>
    <row r="177">
      <c r="A177">
        <f>ROW(A177)-1</f>
        <v>176</v>
      </c>
      <c r="B177">
        <v>27</v>
      </c>
      <c r="C177" t="str" cm="1">
        <f t="array" ref="C177">GetValue("Tbl","Alias",B177)</f>
        <v>Prm</v>
      </c>
      <c r="D177">
        <v>6</v>
      </c>
      <c r="E177" t="str" cm="1">
        <f t="array" ref="E177">GetValue("Dmn","Name",D177)</f>
        <v>Boolean</v>
      </c>
      <c r="F177" t="str" cm="1">
        <f t="array" ref="F177">GetValue("Dmn","#CategoryName",D177)</f>
        <v>boolean</v>
      </c>
      <c r="G177">
        <f>IF(H177="Id",5,G176+5)</f>
        <v>30</v>
      </c>
      <c r="H177" t="str" cm="1">
        <f t="array" ref="H177">GetColumnName(C177,IF(B177=B176,H176,""))</f>
        <v>CanRead</v>
      </c>
      <c r="I177" t="str">
        <f>H177</f>
        <v>CanRead</v>
      </c>
      <c r="J177" t="str">
        <f>H177</f>
        <v>CanRead</v>
      </c>
      <c r="K177" t="b">
        <v>0</v>
      </c>
      <c r="L177" t="b">
        <v>0</v>
      </c>
      <c r="M177" t="b">
        <v>0</v>
      </c>
      <c r="N177" t="b">
        <v>1</v>
      </c>
      <c r="O177" t="b">
        <v>1</v>
      </c>
      <c r="P177" t="b">
        <v>1</v>
      </c>
      <c r="Q177" t="b">
        <v>0</v>
      </c>
      <c r="R177" t="b">
        <v>0</v>
      </c>
      <c r="S177" t="b">
        <v>0</v>
      </c>
      <c r="T177" t="b">
        <v>0</v>
      </c>
    </row>
    <row r="178">
      <c r="A178">
        <f>ROW(A178)-1</f>
        <v>177</v>
      </c>
      <c r="B178">
        <v>27</v>
      </c>
      <c r="C178" t="str" cm="1">
        <f t="array" ref="C178">GetValue("Tbl","Alias",B178)</f>
        <v>Prm</v>
      </c>
      <c r="D178">
        <v>6</v>
      </c>
      <c r="E178" t="str" cm="1">
        <f t="array" ref="E178">GetValue("Dmn","Name",D178)</f>
        <v>Boolean</v>
      </c>
      <c r="F178" t="str" cm="1">
        <f t="array" ref="F178">GetValue("Dmn","#CategoryName",D178)</f>
        <v>boolean</v>
      </c>
      <c r="G178">
        <f>IF(H178="Id",5,G177+5)</f>
        <v>35</v>
      </c>
      <c r="H178" t="str" cm="1">
        <f t="array" ref="H178">GetColumnName(C178,IF(B178=B177,H177,""))</f>
        <v>CanUpdate</v>
      </c>
      <c r="I178" t="str">
        <f>H178</f>
        <v>CanUpdate</v>
      </c>
      <c r="J178" t="str">
        <f>H178</f>
        <v>CanUpdate</v>
      </c>
      <c r="K178" t="b">
        <v>0</v>
      </c>
      <c r="L178" t="b">
        <v>0</v>
      </c>
      <c r="M178" t="b">
        <v>0</v>
      </c>
      <c r="N178" t="b">
        <v>1</v>
      </c>
      <c r="O178" t="b">
        <v>1</v>
      </c>
      <c r="P178" t="b">
        <v>1</v>
      </c>
      <c r="Q178" t="b">
        <v>0</v>
      </c>
      <c r="R178" t="b">
        <v>0</v>
      </c>
      <c r="S178" t="b">
        <v>0</v>
      </c>
      <c r="T178" t="b">
        <v>0</v>
      </c>
    </row>
    <row r="179">
      <c r="A179">
        <f>ROW(A179)-1</f>
        <v>178</v>
      </c>
      <c r="B179">
        <v>27</v>
      </c>
      <c r="C179" t="str" cm="1">
        <f t="array" ref="C179">GetValue("Tbl","Alias",B179)</f>
        <v>Prm</v>
      </c>
      <c r="D179">
        <v>6</v>
      </c>
      <c r="E179" t="str" cm="1">
        <f t="array" ref="E179">GetValue("Dmn","Name",D179)</f>
        <v>Boolean</v>
      </c>
      <c r="F179" t="str" cm="1">
        <f t="array" ref="F179">GetValue("Dmn","#CategoryName",D179)</f>
        <v>boolean</v>
      </c>
      <c r="G179">
        <f>IF(H179="Id",5,G178+5)</f>
        <v>40</v>
      </c>
      <c r="H179" t="str" cm="1">
        <f t="array" ref="H179">GetColumnName(C179,IF(B179=B178,H178,""))</f>
        <v>CanDelete</v>
      </c>
      <c r="I179" t="str">
        <f>H179</f>
        <v>CanDelete</v>
      </c>
      <c r="J179" t="str">
        <f>H179</f>
        <v>CanDelete</v>
      </c>
      <c r="K179" t="b">
        <v>0</v>
      </c>
      <c r="L179" t="b">
        <v>0</v>
      </c>
      <c r="M179" t="b">
        <v>0</v>
      </c>
      <c r="N179" t="b">
        <v>1</v>
      </c>
      <c r="O179" t="b">
        <v>1</v>
      </c>
      <c r="P179" t="b">
        <v>1</v>
      </c>
      <c r="Q179" t="b">
        <v>0</v>
      </c>
      <c r="R179" t="b">
        <v>0</v>
      </c>
      <c r="S179" t="b">
        <v>0</v>
      </c>
      <c r="T179" t="b">
        <v>0</v>
      </c>
    </row>
    <row r="180">
      <c r="A180">
        <f>ROW(A180)-1</f>
        <v>179</v>
      </c>
      <c r="B180">
        <v>28</v>
      </c>
      <c r="C180" t="str" cm="1">
        <f t="array" ref="C180">GetValue("Tbl","Alias",B180)</f>
        <v>Prp</v>
      </c>
      <c r="D180">
        <v>6</v>
      </c>
      <c r="E180" t="str" cm="1">
        <f t="array" ref="E180">GetValue("Dmn","Name",D180)</f>
        <v>Boolean</v>
      </c>
      <c r="F180" t="str" cm="1">
        <f t="array" ref="F180">GetValue("Dmn","#CategoryName",D180)</f>
        <v>boolean</v>
      </c>
      <c r="G180">
        <f>IF(H180="Id",5,G179+5)</f>
        <v>5</v>
      </c>
      <c r="H180" t="str" cm="1">
        <f t="array" ref="H180">GetColumnName(C180,IF(B180=B179,H179,""))</f>
        <v>Id</v>
      </c>
      <c r="I180" t="str">
        <f>H180</f>
        <v>Id</v>
      </c>
      <c r="J180" t="str">
        <f>H180</f>
        <v>Id</v>
      </c>
      <c r="K180" t="b">
        <v>1</v>
      </c>
      <c r="L180" t="b">
        <v>1</v>
      </c>
      <c r="M180" t="b">
        <v>0</v>
      </c>
      <c r="N180" t="b">
        <v>1</v>
      </c>
      <c r="O180" t="b">
        <v>0</v>
      </c>
      <c r="P180" t="b">
        <v>0</v>
      </c>
      <c r="Q180" t="b">
        <v>0</v>
      </c>
      <c r="R180" t="b">
        <v>0</v>
      </c>
      <c r="S180" t="b">
        <v>0</v>
      </c>
      <c r="T180" t="b">
        <v>0</v>
      </c>
    </row>
    <row r="181">
      <c r="A181">
        <f>ROW(A181)-1</f>
        <v>180</v>
      </c>
      <c r="B181">
        <v>28</v>
      </c>
      <c r="C181" t="str" cm="1">
        <f t="array" ref="C181">GetValue("Tbl","Alias",B181)</f>
        <v>Prp</v>
      </c>
      <c r="D181">
        <v>1</v>
      </c>
      <c r="E181" t="str" cm="1">
        <f t="array" ref="E181">GetValue("Dmn","Name",D181)</f>
        <v>BigInteger</v>
      </c>
      <c r="F181" t="str" cm="1">
        <f t="array" ref="F181">GetValue("Dmn","#CategoryName",D181)</f>
        <v>number</v>
      </c>
      <c r="G181">
        <f>IF(H181="Id",5,G180+5)</f>
        <v>10</v>
      </c>
      <c r="H181" t="str" cm="1">
        <f t="array" ref="H181">GetColumnName(C181,IF(B181=B180,H180,""))</f>
        <v>Name</v>
      </c>
      <c r="I181" t="str">
        <f>H181</f>
        <v>Name</v>
      </c>
      <c r="J181" t="str">
        <f>H181</f>
        <v>Name</v>
      </c>
      <c r="K181" t="b">
        <v>1</v>
      </c>
      <c r="L181" t="b">
        <v>0</v>
      </c>
      <c r="M181" t="b">
        <v>0</v>
      </c>
      <c r="N181" t="b">
        <v>1</v>
      </c>
      <c r="O181" t="b">
        <v>0</v>
      </c>
      <c r="P181" t="b">
        <v>0</v>
      </c>
      <c r="Q181" t="b">
        <v>1</v>
      </c>
      <c r="R181" t="b">
        <v>0</v>
      </c>
      <c r="S181" t="b">
        <v>0</v>
      </c>
      <c r="T181" t="b">
        <v>0</v>
      </c>
    </row>
    <row r="182">
      <c r="A182">
        <f>ROW(A182)-1</f>
        <v>181</v>
      </c>
      <c r="B182">
        <v>28</v>
      </c>
      <c r="C182" t="str" cm="1">
        <f t="array" ref="C182">GetValue("Tbl","Alias",B182)</f>
        <v>Prp</v>
      </c>
      <c r="D182">
        <v>10</v>
      </c>
      <c r="E182" t="str" cm="1">
        <f t="array" ref="E182">GetValue("Dmn","Name",D182)</f>
        <v>NVARCHAR(25)</v>
      </c>
      <c r="F182" t="str" cm="1">
        <f t="array" ref="F182">GetValue("Dmn","#CategoryName",D182)</f>
        <v>string</v>
      </c>
      <c r="G182">
        <f>IF(H182="Id",5,G181+5)</f>
        <v>15</v>
      </c>
      <c r="H182" t="str" cm="1">
        <f t="array" ref="H182">GetColumnName(C182,IF(B182=B181,H181,""))</f>
        <v>CategoryId</v>
      </c>
      <c r="I182" t="str">
        <f>H182</f>
        <v>CategoryId</v>
      </c>
      <c r="J182" t="str">
        <f>H182</f>
        <v>CategoryId</v>
      </c>
      <c r="K182" t="b">
        <v>0</v>
      </c>
      <c r="L182" t="b">
        <v>0</v>
      </c>
      <c r="M182" t="b">
        <v>0</v>
      </c>
      <c r="N182" t="b">
        <v>1</v>
      </c>
      <c r="O182" t="b">
        <v>1</v>
      </c>
      <c r="P182" t="b">
        <v>1</v>
      </c>
      <c r="Q182" t="b">
        <v>0</v>
      </c>
      <c r="R182" t="b">
        <v>0</v>
      </c>
      <c r="S182" t="b">
        <v>0</v>
      </c>
      <c r="T182" t="b">
        <v>0</v>
      </c>
    </row>
    <row r="183">
      <c r="A183">
        <f>ROW(A183)-1</f>
        <v>182</v>
      </c>
      <c r="B183">
        <v>28</v>
      </c>
      <c r="C183" t="str" cm="1">
        <f t="array" ref="C183">GetValue("Tbl","Alias",B183)</f>
        <v>Prp</v>
      </c>
      <c r="D183">
        <v>5</v>
      </c>
      <c r="E183" t="str" cm="1">
        <f t="array" ref="E183">GetValue("Dmn","Name",D183)</f>
        <v>TinyInteger</v>
      </c>
      <c r="F183" t="str" cm="1">
        <f t="array" ref="F183">GetValue("Dmn","#CategoryName",D183)</f>
        <v>number</v>
      </c>
      <c r="G183">
        <f>IF(H183="Id",5,G182+5)</f>
        <v>20</v>
      </c>
      <c r="H183" t="str" cm="1">
        <f t="array" ref="H183">GetColumnName(C183,IF(B183=B182,H182,""))</f>
        <v>Description</v>
      </c>
      <c r="I183" t="str">
        <f>H183</f>
        <v>Description</v>
      </c>
      <c r="J183" t="str">
        <f>H183</f>
        <v>Description</v>
      </c>
      <c r="K183" t="b">
        <v>0</v>
      </c>
      <c r="L183" t="b">
        <v>0</v>
      </c>
      <c r="M183" t="b">
        <v>0</v>
      </c>
      <c r="N183" t="b">
        <v>1</v>
      </c>
      <c r="O183" t="b">
        <v>1</v>
      </c>
      <c r="P183" t="b">
        <v>1</v>
      </c>
      <c r="Q183" t="b">
        <v>0</v>
      </c>
      <c r="R183" t="b">
        <v>0</v>
      </c>
      <c r="S183" t="b">
        <v>0</v>
      </c>
      <c r="T183" t="b">
        <v>0</v>
      </c>
    </row>
    <row r="184">
      <c r="A184">
        <f>ROW(A184)-1</f>
        <v>183</v>
      </c>
      <c r="B184">
        <v>28</v>
      </c>
      <c r="C184" t="str" cm="1">
        <f t="array" ref="C184">GetValue("Tbl","Alias",B184)</f>
        <v>Prp</v>
      </c>
      <c r="D184">
        <v>11</v>
      </c>
      <c r="E184" t="str" cm="1">
        <f t="array" ref="E184">GetValue("Dmn","Name",D184)</f>
        <v>NVARCHAR(50)</v>
      </c>
      <c r="F184" t="str" cm="1">
        <f t="array" ref="F184">GetValue("Dmn","#CategoryName",D184)</f>
        <v>string</v>
      </c>
      <c r="G184">
        <f>IF(H184="Id",5,G183+5)</f>
        <v>25</v>
      </c>
      <c r="H184" t="str" cm="1">
        <f t="array" ref="H184">GetColumnName(C184,IF(B184=B183,H183,""))</f>
        <v>IsActive</v>
      </c>
      <c r="I184" t="str">
        <f>H184</f>
        <v>IsActive</v>
      </c>
      <c r="J184" t="str">
        <f>H184</f>
        <v>IsActive</v>
      </c>
      <c r="K184" t="b">
        <v>0</v>
      </c>
      <c r="L184" t="b">
        <v>0</v>
      </c>
      <c r="M184" t="b">
        <v>0</v>
      </c>
      <c r="N184" t="b">
        <v>1</v>
      </c>
      <c r="O184" t="b">
        <v>1</v>
      </c>
      <c r="P184" t="b">
        <v>1</v>
      </c>
      <c r="Q184" t="b">
        <v>0</v>
      </c>
      <c r="R184" t="b">
        <v>0</v>
      </c>
      <c r="S184" t="b">
        <v>0</v>
      </c>
      <c r="T184" t="b">
        <v>0</v>
      </c>
    </row>
    <row r="185">
      <c r="A185">
        <f>ROW(A185)-1</f>
        <v>184</v>
      </c>
      <c r="B185">
        <v>29</v>
      </c>
      <c r="C185" t="str" cm="1">
        <f t="array" ref="C185">GetValue("Tbl","Alias",B185)</f>
        <v>Bhv</v>
      </c>
      <c r="D185">
        <v>6</v>
      </c>
      <c r="E185" t="str" cm="1">
        <f t="array" ref="E185">GetValue("Dmn","Name",D185)</f>
        <v>Boolean</v>
      </c>
      <c r="F185" t="str" cm="1">
        <f t="array" ref="F185">GetValue("Dmn","#CategoryName",D185)</f>
        <v>boolean</v>
      </c>
      <c r="G185">
        <f>IF(H185="Id",5,G184+5)</f>
        <v>5</v>
      </c>
      <c r="H185" t="str" cm="1">
        <f t="array" ref="H185">GetColumnName(C185,IF(B185=B184,H184,""))</f>
        <v>Id</v>
      </c>
      <c r="I185" t="str">
        <f>H185</f>
        <v>Id</v>
      </c>
      <c r="J185" t="str">
        <f>H185</f>
        <v>Id</v>
      </c>
      <c r="K185" t="b">
        <v>1</v>
      </c>
      <c r="L185" t="b">
        <v>1</v>
      </c>
      <c r="M185" t="b">
        <v>0</v>
      </c>
      <c r="N185" t="b">
        <v>1</v>
      </c>
      <c r="O185" t="b">
        <v>1</v>
      </c>
      <c r="P185" t="b">
        <v>1</v>
      </c>
      <c r="Q185" t="b">
        <v>0</v>
      </c>
      <c r="R185" t="b">
        <v>0</v>
      </c>
      <c r="S185" t="b">
        <v>0</v>
      </c>
      <c r="T185" t="b">
        <v>0</v>
      </c>
    </row>
    <row r="186">
      <c r="A186">
        <f>ROW(A186)-1</f>
        <v>185</v>
      </c>
      <c r="B186">
        <v>29</v>
      </c>
      <c r="C186" t="str" cm="1">
        <f t="array" ref="C186">GetValue("Tbl","Alias",B186)</f>
        <v>Bhv</v>
      </c>
      <c r="D186">
        <v>1</v>
      </c>
      <c r="E186" t="str" cm="1">
        <f t="array" ref="E186">GetValue("Dmn","Name",D186)</f>
        <v>BigInteger</v>
      </c>
      <c r="F186" t="str" cm="1">
        <f t="array" ref="F186">GetValue("Dmn","#CategoryName",D186)</f>
        <v>number</v>
      </c>
      <c r="G186">
        <f>IF(H186="Id",5,G185+5)</f>
        <v>10</v>
      </c>
      <c r="H186" t="str" cm="1">
        <f t="array" ref="H186">GetColumnName(C186,IF(B186=B185,H185,""))</f>
        <v>ColumnId</v>
      </c>
      <c r="I186" t="str">
        <f>H186</f>
        <v>ColumnId</v>
      </c>
      <c r="J186" t="str">
        <f>H186</f>
        <v>ColumnId</v>
      </c>
      <c r="K186" t="b">
        <v>1</v>
      </c>
      <c r="L186" t="b">
        <v>0</v>
      </c>
      <c r="M186" t="b">
        <v>0</v>
      </c>
      <c r="N186" t="b">
        <v>1</v>
      </c>
      <c r="O186" t="b">
        <v>0</v>
      </c>
      <c r="P186" t="b">
        <v>0</v>
      </c>
      <c r="Q186" t="b">
        <v>0</v>
      </c>
      <c r="R186" t="b">
        <v>0</v>
      </c>
      <c r="S186" t="b">
        <v>0</v>
      </c>
      <c r="T186" t="b">
        <v>0</v>
      </c>
    </row>
    <row r="187">
      <c r="A187">
        <f>ROW(A187)-1</f>
        <v>186</v>
      </c>
      <c r="B187">
        <v>29</v>
      </c>
      <c r="C187" t="str" cm="1">
        <f t="array" ref="C187">GetValue("Tbl","Alias",B187)</f>
        <v>Bhv</v>
      </c>
      <c r="D187">
        <v>1</v>
      </c>
      <c r="E187" t="str" cm="1">
        <f t="array" ref="E187">GetValue("Dmn","Name",D187)</f>
        <v>BigInteger</v>
      </c>
      <c r="F187" t="str" cm="1">
        <f t="array" ref="F187">GetValue("Dmn","#CategoryName",D187)</f>
        <v>number</v>
      </c>
      <c r="G187">
        <f>IF(H187="Id",5,G186+5)</f>
        <v>15</v>
      </c>
      <c r="H187" t="str" cm="1">
        <f t="array" ref="H187">GetColumnName(C187,IF(B187=B186,H186,""))</f>
        <v>ExpressionId</v>
      </c>
      <c r="I187" t="str">
        <f>H187</f>
        <v>ExpressionId</v>
      </c>
      <c r="J187" t="str">
        <f>H187</f>
        <v>ExpressionId</v>
      </c>
      <c r="K187" t="b">
        <v>1</v>
      </c>
      <c r="L187" t="b">
        <v>0</v>
      </c>
      <c r="M187" t="b">
        <v>0</v>
      </c>
      <c r="N187" t="b">
        <v>1</v>
      </c>
      <c r="O187" t="b">
        <v>1</v>
      </c>
      <c r="P187" t="b">
        <v>1</v>
      </c>
      <c r="Q187" t="b">
        <v>0</v>
      </c>
      <c r="R187" t="b">
        <v>0</v>
      </c>
      <c r="S187" t="b">
        <v>0</v>
      </c>
      <c r="T187" t="b">
        <v>0</v>
      </c>
    </row>
    <row r="188">
      <c r="A188">
        <f>ROW(A188)-1</f>
        <v>187</v>
      </c>
      <c r="B188">
        <v>29</v>
      </c>
      <c r="C188" t="str" cm="1">
        <f t="array" ref="C188">GetValue("Tbl","Alias",B188)</f>
        <v>Bhv</v>
      </c>
      <c r="D188">
        <v>1</v>
      </c>
      <c r="E188" t="str" cm="1">
        <f t="array" ref="E188">GetValue("Dmn","Name",D188)</f>
        <v>BigInteger</v>
      </c>
      <c r="F188" t="str" cm="1">
        <f t="array" ref="F188">GetValue("Dmn","#CategoryName",D188)</f>
        <v>number</v>
      </c>
      <c r="G188">
        <f>IF(H188="Id",5,G187+5)</f>
        <v>20</v>
      </c>
      <c r="H188" t="str" cm="1">
        <f t="array" ref="H188">GetColumnName(C188,IF(B188=B187,H187,""))</f>
        <v>PropertyId</v>
      </c>
      <c r="I188" t="str">
        <f>H188</f>
        <v>PropertyId</v>
      </c>
      <c r="J188" t="str">
        <f>H188</f>
        <v>PropertyId</v>
      </c>
      <c r="K188" t="b">
        <v>1</v>
      </c>
      <c r="L188" t="b">
        <v>0</v>
      </c>
      <c r="M188" t="b">
        <v>0</v>
      </c>
      <c r="N188" t="b">
        <v>1</v>
      </c>
      <c r="O188" t="b">
        <v>1</v>
      </c>
      <c r="P188" t="b">
        <v>1</v>
      </c>
      <c r="Q188" t="b">
        <v>0</v>
      </c>
      <c r="R188" t="b">
        <v>0</v>
      </c>
      <c r="S188" t="b">
        <v>0</v>
      </c>
      <c r="T188" t="b">
        <v>0</v>
      </c>
    </row>
    <row r="189">
      <c r="A189">
        <f>ROW(A189)-1</f>
        <v>188</v>
      </c>
      <c r="B189">
        <v>29</v>
      </c>
      <c r="C189" t="str" cm="1">
        <f t="array" ref="C189">GetValue("Tbl","Alias",B189)</f>
        <v>Bhv</v>
      </c>
      <c r="D189">
        <v>42</v>
      </c>
      <c r="E189" t="str" cm="1">
        <f t="array" ref="E189">GetValue("Dmn","Name",D189)</f>
        <v>VARIANT</v>
      </c>
      <c r="F189" t="str" cm="1">
        <f t="array" ref="F189">GetValue("Dmn","#CategoryName",D189)</f>
        <v>text</v>
      </c>
      <c r="G189">
        <f>IF(H189="Id",5,G188+5)</f>
        <v>25</v>
      </c>
      <c r="H189" t="str" cm="1">
        <f t="array" ref="H189">GetColumnName(C189,IF(B189=B188,H188,""))</f>
        <v>Value</v>
      </c>
      <c r="I189" t="str">
        <f>H189</f>
        <v>Value</v>
      </c>
      <c r="J189" t="str">
        <f>H189</f>
        <v>Value</v>
      </c>
      <c r="K189" t="b">
        <v>0</v>
      </c>
      <c r="L189" t="b">
        <v>0</v>
      </c>
      <c r="M189" t="b">
        <v>0</v>
      </c>
      <c r="N189" t="b">
        <v>1</v>
      </c>
      <c r="O189" t="b">
        <v>1</v>
      </c>
      <c r="P189" t="b">
        <v>1</v>
      </c>
      <c r="Q189" t="b">
        <v>0</v>
      </c>
      <c r="R189" t="b">
        <v>0</v>
      </c>
      <c r="S189" t="b">
        <v>0</v>
      </c>
      <c r="T189" t="b">
        <v>0</v>
      </c>
    </row>
    <row r="190">
      <c r="A190">
        <f>ROW(A190)-1</f>
        <v>189</v>
      </c>
      <c r="B190">
        <v>30</v>
      </c>
      <c r="C190" t="str" cm="1">
        <f t="array" ref="C190">GetValue("Tbl","Alias",B190)</f>
        <v>Sch</v>
      </c>
      <c r="D190">
        <v>1</v>
      </c>
      <c r="E190" t="str" cm="1">
        <f t="array" ref="E190">GetValue("Dmn","Name",D190)</f>
        <v>BigInteger</v>
      </c>
      <c r="F190" t="str" cm="1">
        <f t="array" ref="F190">GetValue("Dmn","#CategoryName",D190)</f>
        <v>number</v>
      </c>
      <c r="G190">
        <f>IF(H190="Id",5,G189+5)</f>
        <v>5</v>
      </c>
      <c r="H190" t="str" cm="1">
        <f t="array" ref="H190">GetColumnName(C190,IF(B190=B189,H189,""))</f>
        <v>Id</v>
      </c>
      <c r="I190" t="str">
        <f>H190</f>
        <v>Id</v>
      </c>
      <c r="J190" t="str">
        <f>H190</f>
        <v>Id</v>
      </c>
      <c r="K190" t="b">
        <v>1</v>
      </c>
      <c r="L190" t="b">
        <v>1</v>
      </c>
      <c r="M190" t="b">
        <v>1</v>
      </c>
      <c r="N190" t="b">
        <v>1</v>
      </c>
      <c r="O190" t="b">
        <v>0</v>
      </c>
      <c r="P190" t="b">
        <v>0</v>
      </c>
      <c r="Q190" t="b">
        <v>0</v>
      </c>
      <c r="R190" t="b">
        <v>0</v>
      </c>
      <c r="S190" t="b">
        <v>0</v>
      </c>
      <c r="T190" t="b">
        <v>0</v>
      </c>
    </row>
    <row r="191">
      <c r="A191">
        <f>ROW(A191)-1</f>
        <v>190</v>
      </c>
      <c r="B191">
        <v>30</v>
      </c>
      <c r="C191" t="str" cm="1">
        <f t="array" ref="C191">GetValue("Tbl","Alias",B191)</f>
        <v>Sch</v>
      </c>
      <c r="D191">
        <v>1</v>
      </c>
      <c r="E191" t="str" cm="1">
        <f t="array" ref="E191">GetValue("Dmn","Name",D191)</f>
        <v>BigInteger</v>
      </c>
      <c r="F191" t="str" cm="1">
        <f t="array" ref="F191">GetValue("Dmn","#CategoryName",D191)</f>
        <v>number</v>
      </c>
      <c r="G191">
        <f>IF(H191="Id",5,G190+5)</f>
        <v>10</v>
      </c>
      <c r="H191" t="str" cm="1">
        <f t="array" ref="H191">GetColumnName(C191,IF(B191=B190,H190,""))</f>
        <v>OwnertId</v>
      </c>
      <c r="I191" t="str">
        <f>H191</f>
        <v>OwnertId</v>
      </c>
      <c r="J191" t="str">
        <f>H191</f>
        <v>OwnertId</v>
      </c>
      <c r="K191" t="b">
        <v>1</v>
      </c>
      <c r="L191" t="b">
        <v>0</v>
      </c>
      <c r="M191" t="b">
        <v>0</v>
      </c>
      <c r="N191" t="b">
        <v>1</v>
      </c>
      <c r="O191" t="b">
        <v>1</v>
      </c>
      <c r="P191" t="b">
        <v>1</v>
      </c>
      <c r="Q191" t="b">
        <v>0</v>
      </c>
      <c r="R191" t="b">
        <v>0</v>
      </c>
      <c r="S191" t="b">
        <v>0</v>
      </c>
      <c r="T191" t="b">
        <v>0</v>
      </c>
    </row>
    <row r="192">
      <c r="A192">
        <f>ROW(A192)-1</f>
        <v>191</v>
      </c>
      <c r="B192">
        <v>30</v>
      </c>
      <c r="C192" t="str" cm="1">
        <f t="array" ref="C192">GetValue("Tbl","Alias",B192)</f>
        <v>Sch</v>
      </c>
      <c r="D192">
        <v>10</v>
      </c>
      <c r="E192" t="str" cm="1">
        <f t="array" ref="E192">GetValue("Dmn","Name",D192)</f>
        <v>NVARCHAR(25)</v>
      </c>
      <c r="F192" t="str" cm="1">
        <f t="array" ref="F192">GetValue("Dmn","#CategoryName",D192)</f>
        <v>string</v>
      </c>
      <c r="G192">
        <f>IF(H192="Id",5,G191+5)</f>
        <v>15</v>
      </c>
      <c r="H192" t="str" cm="1">
        <f t="array" ref="H192">GetColumnName(C192,IF(B192=B191,H191,""))</f>
        <v>Name</v>
      </c>
      <c r="I192" t="str">
        <f>H192</f>
        <v>Name</v>
      </c>
      <c r="J192" t="str">
        <f>H192</f>
        <v>Name</v>
      </c>
      <c r="K192" t="b">
        <v>1</v>
      </c>
      <c r="L192" t="b">
        <v>0</v>
      </c>
      <c r="M192" t="b">
        <v>0</v>
      </c>
      <c r="N192" t="b">
        <v>1</v>
      </c>
      <c r="O192" t="b">
        <v>1</v>
      </c>
      <c r="P192" t="b">
        <v>1</v>
      </c>
      <c r="Q192" t="b">
        <v>1</v>
      </c>
      <c r="R192" t="b">
        <v>0</v>
      </c>
      <c r="S192" t="b">
        <v>0</v>
      </c>
      <c r="T192" t="b">
        <v>0</v>
      </c>
    </row>
    <row r="193">
      <c r="A193">
        <f>ROW(A193)-1</f>
        <v>192</v>
      </c>
      <c r="B193">
        <v>30</v>
      </c>
      <c r="C193" t="str" cm="1">
        <f t="array" ref="C193">GetValue("Tbl","Alias",B193)</f>
        <v>Sch</v>
      </c>
      <c r="D193">
        <v>5</v>
      </c>
      <c r="E193" t="str" cm="1">
        <f t="array" ref="E193">GetValue("Dmn","Name",D193)</f>
        <v>TinyInteger</v>
      </c>
      <c r="F193" t="str" cm="1">
        <f t="array" ref="F193">GetValue("Dmn","#CategoryName",D193)</f>
        <v>number</v>
      </c>
      <c r="G193">
        <f>IF(H193="Id",5,G192+5)</f>
        <v>20</v>
      </c>
      <c r="H193" t="str" cm="1">
        <f t="array" ref="H193">GetColumnName(C193,IF(B193=B192,H192,""))</f>
        <v>Interval</v>
      </c>
      <c r="I193" t="str">
        <f>H193</f>
        <v>Interval</v>
      </c>
      <c r="J193" t="str">
        <f>H193</f>
        <v>Interval</v>
      </c>
      <c r="K193" t="b">
        <v>0</v>
      </c>
      <c r="L193" t="b">
        <v>0</v>
      </c>
      <c r="M193" t="b">
        <v>0</v>
      </c>
      <c r="N193" t="b">
        <v>1</v>
      </c>
      <c r="O193" t="b">
        <v>1</v>
      </c>
      <c r="P193" t="b">
        <v>1</v>
      </c>
      <c r="Q193" t="b">
        <v>0</v>
      </c>
      <c r="R193" t="b">
        <v>0</v>
      </c>
      <c r="S193" t="b">
        <v>0</v>
      </c>
      <c r="T193" t="b">
        <v>0</v>
      </c>
    </row>
    <row r="194">
      <c r="A194">
        <f>ROW(A194)-1</f>
        <v>193</v>
      </c>
      <c r="B194">
        <v>30</v>
      </c>
      <c r="C194" t="str" cm="1">
        <f t="array" ref="C194">GetValue("Tbl","Alias",B194)</f>
        <v>Sch</v>
      </c>
      <c r="D194">
        <v>8</v>
      </c>
      <c r="E194" t="str" cm="1">
        <f t="array" ref="E194">GetValue("Dmn","Name",D194)</f>
        <v>NVARCHAR(15)</v>
      </c>
      <c r="F194" t="str" cm="1">
        <f t="array" ref="F194">GetValue("Dmn","#CategoryName",D194)</f>
        <v>string</v>
      </c>
      <c r="G194">
        <f>IF(H194="Id",5,G193+5)</f>
        <v>25</v>
      </c>
      <c r="H194" t="str" cm="1">
        <f t="array" ref="H194">GetColumnName(C194,IF(B194=B193,H193,""))</f>
        <v>Periodicity</v>
      </c>
      <c r="I194" t="str">
        <f>H194</f>
        <v>Periodicity</v>
      </c>
      <c r="J194" t="str">
        <f>H194</f>
        <v>Periodicity</v>
      </c>
      <c r="K194" t="b">
        <v>0</v>
      </c>
      <c r="L194" t="b">
        <v>0</v>
      </c>
      <c r="M194" t="b">
        <v>0</v>
      </c>
      <c r="N194" t="b">
        <v>1</v>
      </c>
      <c r="O194" t="b">
        <v>1</v>
      </c>
      <c r="P194" t="b">
        <v>1</v>
      </c>
      <c r="Q194" t="b">
        <v>0</v>
      </c>
      <c r="R194" t="b">
        <v>0</v>
      </c>
      <c r="S194" t="b">
        <v>0</v>
      </c>
      <c r="T194" t="b">
        <v>0</v>
      </c>
    </row>
    <row r="195">
      <c r="A195">
        <f>ROW(A195)-1</f>
        <v>194</v>
      </c>
      <c r="B195">
        <v>30</v>
      </c>
      <c r="C195" t="str" cm="1">
        <f t="array" ref="C195">GetValue("Tbl","Alias",B195)</f>
        <v>Sch</v>
      </c>
      <c r="D195">
        <v>51</v>
      </c>
      <c r="E195" t="str" cm="1">
        <f t="array" ref="E195">GetValue("Dmn","Name",D195)</f>
        <v>TIME</v>
      </c>
      <c r="F195" t="str" cm="1">
        <f t="array" ref="F195">GetValue("Dmn","#CategoryName",D195)</f>
        <v>time</v>
      </c>
      <c r="G195">
        <f>IF(H195="Id",5,G194+5)</f>
        <v>30</v>
      </c>
      <c r="H195" t="str" cm="1">
        <f t="array" ref="H195">GetColumnName(C195,IF(B195=B194,H194,""))</f>
        <v>TimeOfDay</v>
      </c>
      <c r="I195" t="str">
        <f>H195</f>
        <v>TimeOfDay</v>
      </c>
      <c r="J195" t="str">
        <f>H195</f>
        <v>TimeOfDay</v>
      </c>
      <c r="K195" t="b">
        <v>0</v>
      </c>
      <c r="L195" t="b">
        <v>0</v>
      </c>
      <c r="M195" t="b">
        <v>0</v>
      </c>
      <c r="N195" t="b">
        <v>1</v>
      </c>
      <c r="O195" t="b">
        <v>1</v>
      </c>
      <c r="P195" t="b">
        <v>1</v>
      </c>
      <c r="Q195" t="b">
        <v>0</v>
      </c>
      <c r="R195" t="b">
        <v>0</v>
      </c>
      <c r="S195" t="b">
        <v>0</v>
      </c>
      <c r="T195" t="b">
        <v>0</v>
      </c>
    </row>
    <row r="196">
      <c r="A196">
        <f>ROW(A196)-1</f>
        <v>195</v>
      </c>
      <c r="B196">
        <v>30</v>
      </c>
      <c r="C196" t="str" cm="1">
        <f t="array" ref="C196">GetValue("Tbl","Alias",B196)</f>
        <v>Sch</v>
      </c>
      <c r="D196">
        <v>5</v>
      </c>
      <c r="E196" t="str" cm="1">
        <f t="array" ref="E196">GetValue("Dmn","Name",D196)</f>
        <v>TinyInteger</v>
      </c>
      <c r="F196" t="str" cm="1">
        <f t="array" ref="F196">GetValue("Dmn","#CategoryName",D196)</f>
        <v>number</v>
      </c>
      <c r="G196">
        <f>IF(H196="Id",5,G195+5)</f>
        <v>35</v>
      </c>
      <c r="H196" t="str" cm="1">
        <f t="array" ref="H196">GetColumnName(C196,IF(B196=B195,H195,""))</f>
        <v>DayOfMonth</v>
      </c>
      <c r="I196" t="str">
        <f>H196</f>
        <v>DayOfMonth</v>
      </c>
      <c r="J196" t="str">
        <f>H196</f>
        <v>DayOfMonth</v>
      </c>
      <c r="K196" t="b">
        <v>0</v>
      </c>
      <c r="L196" t="b">
        <v>0</v>
      </c>
      <c r="M196" t="b">
        <v>0</v>
      </c>
      <c r="N196" t="b">
        <v>1</v>
      </c>
      <c r="O196" t="b">
        <v>1</v>
      </c>
      <c r="P196" t="b">
        <v>1</v>
      </c>
      <c r="Q196" t="b">
        <v>0</v>
      </c>
      <c r="R196" t="b">
        <v>0</v>
      </c>
      <c r="S196" t="b">
        <v>0</v>
      </c>
      <c r="T196" t="b">
        <v>0</v>
      </c>
    </row>
    <row r="197">
      <c r="A197">
        <f>ROW(A197)-1</f>
        <v>196</v>
      </c>
      <c r="B197">
        <v>30</v>
      </c>
      <c r="C197" t="str" cm="1">
        <f t="array" ref="C197">GetValue("Tbl","Alias",B197)</f>
        <v>Sch</v>
      </c>
      <c r="D197">
        <v>52</v>
      </c>
      <c r="E197" t="str" cm="1">
        <f t="array" ref="E197">GetValue("Dmn","Name",D197)</f>
        <v>DATE</v>
      </c>
      <c r="F197" t="str" cm="1">
        <f t="array" ref="F197">GetValue("Dmn","#CategoryName",D197)</f>
        <v>date</v>
      </c>
      <c r="G197">
        <f>IF(H197="Id",5,G196+5)</f>
        <v>40</v>
      </c>
      <c r="H197" t="str" cm="1">
        <f t="array" ref="H197">GetColumnName(C197,IF(B197=B196,H196,""))</f>
        <v>NextRunDate</v>
      </c>
      <c r="I197" t="str">
        <f>H197</f>
        <v>NextRunDate</v>
      </c>
      <c r="J197" t="str">
        <f>H197</f>
        <v>NextRunDate</v>
      </c>
      <c r="K197" t="b">
        <v>0</v>
      </c>
      <c r="L197" t="b">
        <v>0</v>
      </c>
      <c r="M197" t="b">
        <v>0</v>
      </c>
      <c r="N197" t="b">
        <v>1</v>
      </c>
      <c r="O197" t="b">
        <v>1</v>
      </c>
      <c r="P197" t="b">
        <v>1</v>
      </c>
      <c r="Q197" t="b">
        <v>0</v>
      </c>
      <c r="R197" t="b">
        <v>0</v>
      </c>
      <c r="S197" t="b">
        <v>0</v>
      </c>
      <c r="T197" t="b">
        <v>0</v>
      </c>
    </row>
    <row r="198">
      <c r="A198">
        <f>ROW(A198)-1</f>
        <v>197</v>
      </c>
      <c r="B198">
        <v>30</v>
      </c>
      <c r="C198" t="str" cm="1">
        <f t="array" ref="C198">GetValue("Tbl","Alias",B198)</f>
        <v>Sch</v>
      </c>
      <c r="D198">
        <v>6</v>
      </c>
      <c r="E198" t="str" cm="1">
        <f t="array" ref="E198">GetValue("Dmn","Name",D198)</f>
        <v>Boolean</v>
      </c>
      <c r="F198" t="str" cm="1">
        <f t="array" ref="F198">GetValue("Dmn","#CategoryName",D198)</f>
        <v>boolean</v>
      </c>
      <c r="G198">
        <f>IF(H198="Id",5,G197+5)</f>
        <v>45</v>
      </c>
      <c r="H198" t="str" cm="1">
        <f t="array" ref="H198">GetColumnName(C198,IF(B198=B197,H197,""))</f>
        <v>IsFirstOrLastDay</v>
      </c>
      <c r="I198" t="str">
        <f>H198</f>
        <v>IsFirstOrLastDay</v>
      </c>
      <c r="J198" t="str">
        <f>H198</f>
        <v>IsFirstOrLastDay</v>
      </c>
      <c r="K198" t="b">
        <v>0</v>
      </c>
      <c r="L198" t="b">
        <v>0</v>
      </c>
      <c r="M198" t="b">
        <v>0</v>
      </c>
      <c r="N198" t="b">
        <v>1</v>
      </c>
      <c r="O198" t="b">
        <v>1</v>
      </c>
      <c r="P198" t="b">
        <v>1</v>
      </c>
      <c r="Q198" t="b">
        <v>0</v>
      </c>
      <c r="R198" t="b">
        <v>0</v>
      </c>
      <c r="S198" t="b">
        <v>0</v>
      </c>
      <c r="T198" t="b">
        <v>0</v>
      </c>
    </row>
    <row r="199">
      <c r="A199">
        <f>ROW(A199)-1</f>
        <v>198</v>
      </c>
      <c r="B199">
        <v>30</v>
      </c>
      <c r="C199" t="str" cm="1">
        <f t="array" ref="C199">GetValue("Tbl","Alias",B199)</f>
        <v>Sch</v>
      </c>
      <c r="D199">
        <v>6</v>
      </c>
      <c r="E199" t="str" cm="1">
        <f t="array" ref="E199">GetValue("Dmn","Name",D199)</f>
        <v>Boolean</v>
      </c>
      <c r="F199" t="str" cm="1">
        <f t="array" ref="F199">GetValue("Dmn","#CategoryName",D199)</f>
        <v>boolean</v>
      </c>
      <c r="G199">
        <f>IF(H199="Id",5,G198+5)</f>
        <v>50</v>
      </c>
      <c r="H199" t="str" cm="1">
        <f t="array" ref="H199">GetColumnName(C199,IF(B199=B198,H198,""))</f>
        <v>IsBusinessDays</v>
      </c>
      <c r="I199" t="str">
        <f>H199</f>
        <v>IsBusinessDays</v>
      </c>
      <c r="J199" t="str">
        <f>H199</f>
        <v>IsBusinessDays</v>
      </c>
      <c r="K199" t="b">
        <v>0</v>
      </c>
      <c r="L199" t="b">
        <v>0</v>
      </c>
      <c r="M199" t="b">
        <v>0</v>
      </c>
      <c r="N199" t="b">
        <v>1</v>
      </c>
      <c r="O199" t="b">
        <v>1</v>
      </c>
      <c r="P199" t="b">
        <v>1</v>
      </c>
      <c r="Q199" t="b">
        <v>0</v>
      </c>
      <c r="R199" t="b">
        <v>0</v>
      </c>
      <c r="S199" t="b">
        <v>0</v>
      </c>
      <c r="T199" t="b">
        <v>0</v>
      </c>
    </row>
    <row r="200">
      <c r="A200">
        <f>ROW(A200)-1</f>
        <v>199</v>
      </c>
      <c r="B200">
        <v>30</v>
      </c>
      <c r="C200" t="str" cm="1">
        <f t="array" ref="C200">GetValue("Tbl","Alias",B200)</f>
        <v>Sch</v>
      </c>
      <c r="D200">
        <v>6</v>
      </c>
      <c r="E200" t="str" cm="1">
        <f t="array" ref="E200">GetValue("Dmn","Name",D200)</f>
        <v>Boolean</v>
      </c>
      <c r="F200" t="str" cm="1">
        <f t="array" ref="F200">GetValue("Dmn","#CategoryName",D200)</f>
        <v>boolean</v>
      </c>
      <c r="G200">
        <f>IF(H200="Id",5,G199+5)</f>
        <v>55</v>
      </c>
      <c r="H200" t="str" cm="1">
        <f t="array" ref="H200">GetColumnName(C200,IF(B200=B199,H199,""))</f>
        <v>IsRunOnce</v>
      </c>
      <c r="I200" t="str">
        <f>H200</f>
        <v>IsRunOnce</v>
      </c>
      <c r="J200" t="str">
        <f>H200</f>
        <v>IsRunOnce</v>
      </c>
      <c r="K200" t="b">
        <v>0</v>
      </c>
      <c r="L200" t="b">
        <v>0</v>
      </c>
      <c r="M200" t="b">
        <v>0</v>
      </c>
      <c r="N200" t="b">
        <v>1</v>
      </c>
      <c r="O200" t="b">
        <v>1</v>
      </c>
      <c r="P200" t="b">
        <v>1</v>
      </c>
      <c r="Q200" t="b">
        <v>0</v>
      </c>
      <c r="R200" t="b">
        <v>0</v>
      </c>
      <c r="S200" t="b">
        <v>0</v>
      </c>
      <c r="T200" t="b">
        <v>0</v>
      </c>
    </row>
    <row r="201">
      <c r="A201">
        <f>ROW(A201)-1</f>
        <v>200</v>
      </c>
      <c r="B201">
        <v>30</v>
      </c>
      <c r="C201" t="str" cm="1">
        <f t="array" ref="C201">GetValue("Tbl","Alias",B201)</f>
        <v>Sch</v>
      </c>
      <c r="D201">
        <v>6</v>
      </c>
      <c r="E201" t="str" cm="1">
        <f t="array" ref="E201">GetValue("Dmn","Name",D201)</f>
        <v>Boolean</v>
      </c>
      <c r="F201" t="str" cm="1">
        <f t="array" ref="F201">GetValue("Dmn","#CategoryName",D201)</f>
        <v>boolean</v>
      </c>
      <c r="G201">
        <f>IF(H201="Id",5,G200+5)</f>
        <v>60</v>
      </c>
      <c r="H201" t="str" cm="1">
        <f t="array" ref="H201">GetColumnName(C201,IF(B201=B200,H200,""))</f>
        <v>IsForwardHoliday</v>
      </c>
      <c r="I201" t="str">
        <f>H201</f>
        <v>IsForwardHoliday</v>
      </c>
      <c r="J201" t="str">
        <f>H201</f>
        <v>IsForwardHoliday</v>
      </c>
      <c r="K201" t="b">
        <v>0</v>
      </c>
      <c r="L201" t="b">
        <v>0</v>
      </c>
      <c r="M201" t="b">
        <v>0</v>
      </c>
      <c r="N201" t="b">
        <v>1</v>
      </c>
      <c r="O201" t="b">
        <v>1</v>
      </c>
      <c r="P201" t="b">
        <v>1</v>
      </c>
      <c r="Q201" t="b">
        <v>0</v>
      </c>
      <c r="R201" t="b">
        <v>0</v>
      </c>
      <c r="S201" t="b">
        <v>0</v>
      </c>
      <c r="T201" t="b">
        <v>0</v>
      </c>
    </row>
    <row r="202">
      <c r="A202">
        <f>ROW(A202)-1</f>
        <v>201</v>
      </c>
      <c r="B202">
        <v>30</v>
      </c>
      <c r="C202" t="str" cm="1">
        <f t="array" ref="C202">GetValue("Tbl","Alias",B202)</f>
        <v>Sch</v>
      </c>
      <c r="D202">
        <v>1</v>
      </c>
      <c r="E202" t="str" cm="1">
        <f t="array" ref="E202">GetValue("Dmn","Name",D202)</f>
        <v>BigInteger</v>
      </c>
      <c r="F202" t="str" cm="1">
        <f t="array" ref="F202">GetValue("Dmn","#CategoryName",D202)</f>
        <v>number</v>
      </c>
      <c r="G202">
        <f>IF(H202="Id",5,G201+5)</f>
        <v>65</v>
      </c>
      <c r="H202" t="str" cm="1">
        <f t="array" ref="H202">GetColumnName(C202,IF(B202=B201,H201,""))</f>
        <v>IsActive</v>
      </c>
      <c r="I202" t="str">
        <f>H202</f>
        <v>IsActive</v>
      </c>
      <c r="J202" t="str">
        <f>H202</f>
        <v>IsActive</v>
      </c>
      <c r="K202" t="b">
        <v>1</v>
      </c>
      <c r="L202" t="b">
        <v>0</v>
      </c>
      <c r="M202" t="b">
        <v>0</v>
      </c>
      <c r="N202" t="b">
        <v>1</v>
      </c>
      <c r="O202" t="b">
        <v>0</v>
      </c>
      <c r="P202" t="b">
        <v>0</v>
      </c>
      <c r="Q202" t="b">
        <v>0</v>
      </c>
      <c r="R202" t="b">
        <v>0</v>
      </c>
      <c r="S202" t="b">
        <v>0</v>
      </c>
      <c r="T202" t="b">
        <v>0</v>
      </c>
    </row>
    <row r="203">
      <c r="A203">
        <f>ROW(A203)-1</f>
        <v>202</v>
      </c>
      <c r="B203">
        <v>31</v>
      </c>
      <c r="C203" t="str" cm="1">
        <f t="array" ref="C203">GetValue("Tbl","Alias",B203)</f>
        <v>Snp</v>
      </c>
      <c r="D203">
        <v>1</v>
      </c>
      <c r="E203" t="str" cm="1">
        <f t="array" ref="E203">GetValue("Dmn","Name",D203)</f>
        <v>BigInteger</v>
      </c>
      <c r="F203" t="str" cm="1">
        <f t="array" ref="F203">GetValue("Dmn","#CategoryName",D203)</f>
        <v>number</v>
      </c>
      <c r="G203">
        <f>IF(H203="Id",5,G202+5)</f>
        <v>5</v>
      </c>
      <c r="H203" t="str" cm="1">
        <f t="array" ref="H203">GetColumnName(C203,IF(B203=B202,H202,""))</f>
        <v>Id</v>
      </c>
      <c r="I203" t="str">
        <f>H203</f>
        <v>Id</v>
      </c>
      <c r="J203" t="str">
        <f>H203</f>
        <v>Id</v>
      </c>
      <c r="K203" t="b">
        <v>1</v>
      </c>
      <c r="L203" t="b">
        <v>1</v>
      </c>
      <c r="M203" t="b">
        <v>1</v>
      </c>
      <c r="N203" t="b">
        <v>1</v>
      </c>
      <c r="O203" t="b">
        <v>0</v>
      </c>
      <c r="P203" t="b">
        <v>0</v>
      </c>
      <c r="Q203" t="b">
        <v>0</v>
      </c>
      <c r="R203" t="b">
        <v>0</v>
      </c>
      <c r="S203" t="b">
        <v>0</v>
      </c>
      <c r="T203" t="b">
        <v>0</v>
      </c>
    </row>
    <row r="204">
      <c r="A204">
        <f>ROW(A204)-1</f>
        <v>203</v>
      </c>
      <c r="B204">
        <v>31</v>
      </c>
      <c r="C204" t="str" cm="1">
        <f t="array" ref="C204">GetValue("Tbl","Alias",B204)</f>
        <v>Snp</v>
      </c>
      <c r="D204">
        <v>10</v>
      </c>
      <c r="E204" t="str" cm="1">
        <f t="array" ref="E204">GetValue("Dmn","Name",D204)</f>
        <v>NVARCHAR(25)</v>
      </c>
      <c r="F204" t="str" cm="1">
        <f t="array" ref="F204">GetValue("Dmn","#CategoryName",D204)</f>
        <v>string</v>
      </c>
      <c r="G204">
        <f>IF(H204="Id",5,G203+5)</f>
        <v>10</v>
      </c>
      <c r="H204" t="str" cm="1">
        <f t="array" ref="H204">GetColumnName(C204,IF(B204=B203,H203,""))</f>
        <v>TableId</v>
      </c>
      <c r="I204" t="str">
        <f>H204</f>
        <v>TableId</v>
      </c>
      <c r="J204" t="str">
        <f>H204</f>
        <v>TableId</v>
      </c>
      <c r="K204" t="b">
        <v>1</v>
      </c>
      <c r="L204" t="b">
        <v>0</v>
      </c>
      <c r="M204" t="b">
        <v>0</v>
      </c>
      <c r="N204" t="b">
        <v>1</v>
      </c>
      <c r="O204" t="b">
        <v>1</v>
      </c>
      <c r="P204" t="b">
        <v>1</v>
      </c>
      <c r="Q204" t="b">
        <v>0</v>
      </c>
      <c r="R204" t="b">
        <v>0</v>
      </c>
      <c r="S204" t="b">
        <v>0</v>
      </c>
      <c r="T204" t="b">
        <v>0</v>
      </c>
    </row>
    <row r="205">
      <c r="A205">
        <f>ROW(A205)-1</f>
        <v>204</v>
      </c>
      <c r="B205">
        <v>31</v>
      </c>
      <c r="C205" t="str" cm="1">
        <f t="array" ref="C205">GetValue("Tbl","Alias",B205)</f>
        <v>Snp</v>
      </c>
      <c r="D205">
        <v>6</v>
      </c>
      <c r="E205" t="str" cm="1">
        <f t="array" ref="E205">GetValue("Dmn","Name",D205)</f>
        <v>Boolean</v>
      </c>
      <c r="F205" t="str" cm="1">
        <f t="array" ref="F205">GetValue("Dmn","#CategoryName",D205)</f>
        <v>boolean</v>
      </c>
      <c r="G205">
        <f>IF(H205="Id",5,G204+5)</f>
        <v>15</v>
      </c>
      <c r="H205" t="str" cm="1">
        <f t="array" ref="H205">GetColumnName(C205,IF(B205=B204,H204,""))</f>
        <v>Name</v>
      </c>
      <c r="I205" t="str">
        <f>H205</f>
        <v>Name</v>
      </c>
      <c r="J205" t="str">
        <f>H205</f>
        <v>Name</v>
      </c>
      <c r="K205" t="b">
        <v>1</v>
      </c>
      <c r="L205" t="b">
        <v>0</v>
      </c>
      <c r="M205" t="b">
        <v>0</v>
      </c>
      <c r="N205" t="b">
        <v>1</v>
      </c>
      <c r="O205" t="b">
        <v>1</v>
      </c>
      <c r="P205" t="b">
        <v>1</v>
      </c>
      <c r="Q205" t="b">
        <v>1</v>
      </c>
      <c r="R205" t="b">
        <v>0</v>
      </c>
      <c r="S205" t="b">
        <v>0</v>
      </c>
      <c r="T205" t="b">
        <v>0</v>
      </c>
    </row>
    <row r="206">
      <c r="A206">
        <f>ROW(A206)-1</f>
        <v>205</v>
      </c>
      <c r="B206">
        <v>31</v>
      </c>
      <c r="C206" t="str" cm="1">
        <f t="array" ref="C206">GetValue("Tbl","Alias",B206)</f>
        <v>Snp</v>
      </c>
      <c r="D206">
        <v>6</v>
      </c>
      <c r="E206" t="str" cm="1">
        <f t="array" ref="E206">GetValue("Dmn","Name",D206)</f>
        <v>Boolean</v>
      </c>
      <c r="F206" t="str" cm="1">
        <f t="array" ref="F206">GetValue("Dmn","#CategoryName",D206)</f>
        <v>boolean</v>
      </c>
      <c r="G206">
        <f>IF(H206="Id",5,G205+5)</f>
        <v>20</v>
      </c>
      <c r="H206" t="str" cm="1">
        <f t="array" ref="H206">GetColumnName(C206,IF(B206=B205,H205,""))</f>
        <v>IsBefore</v>
      </c>
      <c r="I206" t="str">
        <f>H206</f>
        <v>IsBefore</v>
      </c>
      <c r="J206" t="str">
        <f>H206</f>
        <v>IsBefore</v>
      </c>
      <c r="K206" t="b">
        <v>0</v>
      </c>
      <c r="L206" t="b">
        <v>0</v>
      </c>
      <c r="M206" t="b">
        <v>0</v>
      </c>
      <c r="N206" t="b">
        <v>1</v>
      </c>
      <c r="O206" t="b">
        <v>1</v>
      </c>
      <c r="P206" t="b">
        <v>1</v>
      </c>
      <c r="Q206" t="b">
        <v>0</v>
      </c>
      <c r="R206" t="b">
        <v>0</v>
      </c>
      <c r="S206" t="b">
        <v>0</v>
      </c>
      <c r="T206" t="b">
        <v>0</v>
      </c>
    </row>
    <row r="207">
      <c r="A207">
        <f>ROW(A207)-1</f>
        <v>206</v>
      </c>
      <c r="B207">
        <v>31</v>
      </c>
      <c r="C207" t="str" cm="1">
        <f t="array" ref="C207">GetValue("Tbl","Alias",B207)</f>
        <v>Snp</v>
      </c>
      <c r="D207">
        <v>1</v>
      </c>
      <c r="E207" t="str" cm="1">
        <f t="array" ref="E207">GetValue("Dmn","Name",D207)</f>
        <v>BigInteger</v>
      </c>
      <c r="F207" t="str" cm="1">
        <f t="array" ref="F207">GetValue("Dmn","#CategoryName",D207)</f>
        <v>number</v>
      </c>
      <c r="G207">
        <f>IF(H207="Id",5,G206+5)</f>
        <v>25</v>
      </c>
      <c r="H207" t="str" cm="1">
        <f t="array" ref="H207">GetColumnName(C207,IF(B207=B206,H206,""))</f>
        <v>IsActive</v>
      </c>
      <c r="I207" t="str">
        <f>H207</f>
        <v>IsActive</v>
      </c>
      <c r="J207" t="str">
        <f>H207</f>
        <v>IsActive</v>
      </c>
      <c r="K207" t="b">
        <v>1</v>
      </c>
      <c r="L207" t="b">
        <v>0</v>
      </c>
      <c r="M207" t="b">
        <v>0</v>
      </c>
      <c r="N207" t="b">
        <v>1</v>
      </c>
      <c r="O207" t="b">
        <v>0</v>
      </c>
      <c r="P207" t="b">
        <v>0</v>
      </c>
      <c r="Q207" t="b">
        <v>0</v>
      </c>
      <c r="R207" t="b">
        <v>0</v>
      </c>
      <c r="S207" t="b">
        <v>0</v>
      </c>
      <c r="T207" t="b">
        <v>0</v>
      </c>
    </row>
    <row r="208">
      <c r="A208">
        <f>ROW(A208)-1</f>
        <v>207</v>
      </c>
      <c r="B208">
        <v>32</v>
      </c>
      <c r="C208" t="str" cm="1">
        <f t="array" ref="C208">GetValue("Tbl","Alias",B208)</f>
        <v>Scr</v>
      </c>
      <c r="D208">
        <v>1</v>
      </c>
      <c r="E208" t="str" cm="1">
        <f t="array" ref="E208">GetValue("Dmn","Name",D208)</f>
        <v>BigInteger</v>
      </c>
      <c r="F208" t="str" cm="1">
        <f t="array" ref="F208">GetValue("Dmn","#CategoryName",D208)</f>
        <v>number</v>
      </c>
      <c r="G208">
        <f>IF(H208="Id",5,G207+5)</f>
        <v>5</v>
      </c>
      <c r="H208" t="str" cm="1">
        <f t="array" ref="H208">GetColumnName(C208,IF(B208=B207,H207,""))</f>
        <v>Id</v>
      </c>
      <c r="I208" t="str">
        <f>H208</f>
        <v>Id</v>
      </c>
      <c r="J208" t="str">
        <f>H208</f>
        <v>Id</v>
      </c>
      <c r="K208" t="b">
        <v>1</v>
      </c>
      <c r="L208" t="b">
        <v>1</v>
      </c>
      <c r="M208" t="b">
        <v>1</v>
      </c>
      <c r="N208" t="b">
        <v>1</v>
      </c>
      <c r="O208" t="b">
        <v>0</v>
      </c>
      <c r="P208" t="b">
        <v>0</v>
      </c>
      <c r="Q208" t="b">
        <v>0</v>
      </c>
      <c r="R208" t="b">
        <v>0</v>
      </c>
      <c r="S208" t="b">
        <v>0</v>
      </c>
      <c r="T208" t="b">
        <v>0</v>
      </c>
    </row>
    <row r="209">
      <c r="A209">
        <f>ROW(A209)-1</f>
        <v>208</v>
      </c>
      <c r="B209">
        <v>32</v>
      </c>
      <c r="C209" t="str" cm="1">
        <f t="array" ref="C209">GetValue("Tbl","Alias",B209)</f>
        <v>Scr</v>
      </c>
      <c r="D209">
        <v>1</v>
      </c>
      <c r="E209" t="str" cm="1">
        <f t="array" ref="E209">GetValue("Dmn","Name",D209)</f>
        <v>BigInteger</v>
      </c>
      <c r="F209" t="str" cm="1">
        <f t="array" ref="F209">GetValue("Dmn","#CategoryName",D209)</f>
        <v>number</v>
      </c>
      <c r="G209">
        <f>IF(H209="Id",5,G208+5)</f>
        <v>10</v>
      </c>
      <c r="H209" t="str" cm="1">
        <f t="array" ref="H209">GetColumnName(C209,IF(B209=B208,H208,""))</f>
        <v>SniperId</v>
      </c>
      <c r="I209" t="str">
        <f>H209</f>
        <v>SniperId</v>
      </c>
      <c r="J209" t="str">
        <f>H209</f>
        <v>SniperId</v>
      </c>
      <c r="K209" t="b">
        <v>1</v>
      </c>
      <c r="L209" t="b">
        <v>0</v>
      </c>
      <c r="M209" t="b">
        <v>0</v>
      </c>
      <c r="N209" t="b">
        <v>1</v>
      </c>
      <c r="O209" t="b">
        <v>1</v>
      </c>
      <c r="P209" t="b">
        <v>1</v>
      </c>
      <c r="Q209" t="b">
        <v>0</v>
      </c>
      <c r="R209" t="b">
        <v>0</v>
      </c>
      <c r="S209" t="b">
        <v>0</v>
      </c>
      <c r="T209" t="b">
        <v>0</v>
      </c>
    </row>
    <row r="210">
      <c r="A210">
        <f>ROW(A210)-1</f>
        <v>209</v>
      </c>
      <c r="B210">
        <v>32</v>
      </c>
      <c r="C210" t="str" cm="1">
        <f t="array" ref="C210">GetValue("Tbl","Alias",B210)</f>
        <v>Scr</v>
      </c>
      <c r="D210">
        <v>4</v>
      </c>
      <c r="E210" t="str" cm="1">
        <f t="array" ref="E210">GetValue("Dmn","Name",D210)</f>
        <v>SmallInteger</v>
      </c>
      <c r="F210" t="str" cm="1">
        <f t="array" ref="F210">GetValue("Dmn","#CategoryName",D210)</f>
        <v>number</v>
      </c>
      <c r="G210">
        <f>IF(H210="Id",5,G209+5)</f>
        <v>15</v>
      </c>
      <c r="H210" t="str" cm="1">
        <f t="array" ref="H210">GetColumnName(C210,IF(B210=B209,H209,""))</f>
        <v>DatabaseId</v>
      </c>
      <c r="I210" t="str">
        <f>H210</f>
        <v>DatabaseId</v>
      </c>
      <c r="J210" t="str">
        <f>H210</f>
        <v>DatabaseId</v>
      </c>
      <c r="K210" t="b">
        <v>1</v>
      </c>
      <c r="L210" t="b">
        <v>0</v>
      </c>
      <c r="M210" t="b">
        <v>0</v>
      </c>
      <c r="N210" t="b">
        <v>1</v>
      </c>
      <c r="O210" t="b">
        <v>1</v>
      </c>
      <c r="P210" t="b">
        <v>1</v>
      </c>
      <c r="Q210" t="b">
        <v>0</v>
      </c>
      <c r="R210" t="b">
        <v>0</v>
      </c>
      <c r="S210" t="b">
        <v>0</v>
      </c>
      <c r="T210" t="b">
        <v>0</v>
      </c>
    </row>
    <row r="211">
      <c r="A211">
        <f>ROW(A211)-1</f>
        <v>210</v>
      </c>
      <c r="B211">
        <v>32</v>
      </c>
      <c r="C211" t="str" cm="1">
        <f t="array" ref="C211">GetValue("Tbl","Alias",B211)</f>
        <v>Scr</v>
      </c>
      <c r="D211">
        <v>13</v>
      </c>
      <c r="E211" t="str" cm="1">
        <f t="array" ref="E211">GetValue("Dmn","Name",D211)</f>
        <v>NVARCHAR(max)</v>
      </c>
      <c r="F211" t="str" cm="1">
        <f t="array" ref="F211">GetValue("Dmn","#CategoryName",D211)</f>
        <v>text</v>
      </c>
      <c r="G211">
        <f>IF(H211="Id",5,G210+5)</f>
        <v>20</v>
      </c>
      <c r="H211" t="str" cm="1">
        <f t="array" ref="H211">GetColumnName(C211,IF(B211=B210,H210,""))</f>
        <v>Sequence</v>
      </c>
      <c r="I211" t="str">
        <f>H211</f>
        <v>Sequence</v>
      </c>
      <c r="J211" t="str">
        <f>H211</f>
        <v>Sequence</v>
      </c>
      <c r="K211" t="b">
        <v>1</v>
      </c>
      <c r="L211" t="b">
        <v>0</v>
      </c>
      <c r="M211" t="b">
        <v>0</v>
      </c>
      <c r="N211" t="b">
        <v>1</v>
      </c>
      <c r="O211" t="b">
        <v>1</v>
      </c>
      <c r="P211" t="b">
        <v>1</v>
      </c>
      <c r="Q211" t="b">
        <v>0</v>
      </c>
      <c r="R211" t="b">
        <v>0</v>
      </c>
      <c r="S211" t="b">
        <v>0</v>
      </c>
      <c r="T211" t="b">
        <v>0</v>
      </c>
    </row>
    <row r="212">
      <c r="A212">
        <f>ROW(A212)-1</f>
        <v>211</v>
      </c>
      <c r="B212">
        <v>32</v>
      </c>
      <c r="C212" t="str" cm="1">
        <f t="array" ref="C212">GetValue("Tbl","Alias",B212)</f>
        <v>Scr</v>
      </c>
      <c r="D212">
        <v>1</v>
      </c>
      <c r="E212" t="str" cm="1">
        <f t="array" ref="E212">GetValue("Dmn","Name",D212)</f>
        <v>BigInteger</v>
      </c>
      <c r="F212" t="str" cm="1">
        <f t="array" ref="F212">GetValue("Dmn","#CategoryName",D212)</f>
        <v>number</v>
      </c>
      <c r="G212">
        <f>IF(H212="Id",5,G211+5)</f>
        <v>25</v>
      </c>
      <c r="H212" t="str" cm="1">
        <f t="array" ref="H212">GetColumnName(C212,IF(B212=B211,H211,""))</f>
        <v>Script</v>
      </c>
      <c r="I212" t="str">
        <f>H212</f>
        <v>Script</v>
      </c>
      <c r="J212" t="str">
        <f>H212</f>
        <v>Script</v>
      </c>
      <c r="K212" t="b">
        <v>1</v>
      </c>
      <c r="L212" t="b">
        <v>0</v>
      </c>
      <c r="M212" t="b">
        <v>0</v>
      </c>
      <c r="N212" t="b">
        <v>1</v>
      </c>
      <c r="O212" t="b">
        <v>0</v>
      </c>
      <c r="P212" t="b">
        <v>0</v>
      </c>
      <c r="Q212" t="b">
        <v>0</v>
      </c>
      <c r="R212" t="b">
        <v>0</v>
      </c>
      <c r="S212" t="b">
        <v>0</v>
      </c>
      <c r="T212" t="b">
        <v>0</v>
      </c>
    </row>
    <row r="213">
      <c r="A213">
        <f>ROW(A213)-1</f>
        <v>212</v>
      </c>
      <c r="B213">
        <v>33</v>
      </c>
      <c r="C213" t="str" cm="1">
        <f t="array" ref="C213">GetValue("Tbl","Alias",B213)</f>
        <v>Url</v>
      </c>
      <c r="D213">
        <v>1</v>
      </c>
      <c r="E213" t="str" cm="1">
        <f t="array" ref="E213">GetValue("Dmn","Name",D213)</f>
        <v>BigInteger</v>
      </c>
      <c r="F213" t="str" cm="1">
        <f t="array" ref="F213">GetValue("Dmn","#CategoryName",D213)</f>
        <v>number</v>
      </c>
      <c r="G213">
        <f>IF(H213="Id",5,G212+5)</f>
        <v>5</v>
      </c>
      <c r="H213" t="str" cm="1">
        <f t="array" ref="H213">GetColumnName(C213,IF(B213=B212,H212,""))</f>
        <v>Id</v>
      </c>
      <c r="I213" t="str">
        <f>H213</f>
        <v>Id</v>
      </c>
      <c r="J213" t="str">
        <f>H213</f>
        <v>Id</v>
      </c>
      <c r="K213" t="b">
        <v>1</v>
      </c>
      <c r="L213" t="b">
        <v>1</v>
      </c>
      <c r="M213" t="b">
        <v>1</v>
      </c>
      <c r="N213" t="b">
        <v>1</v>
      </c>
      <c r="O213" t="b">
        <v>0</v>
      </c>
      <c r="P213" t="b">
        <v>0</v>
      </c>
      <c r="Q213" t="b">
        <v>0</v>
      </c>
      <c r="R213" t="b">
        <v>0</v>
      </c>
      <c r="S213" t="b">
        <v>0</v>
      </c>
      <c r="T213" t="b">
        <v>0</v>
      </c>
    </row>
    <row r="214">
      <c r="A214">
        <f>ROW(A214)-1</f>
        <v>213</v>
      </c>
      <c r="B214">
        <v>33</v>
      </c>
      <c r="C214" t="str" cm="1">
        <f t="array" ref="C214">GetValue("Tbl","Alias",B214)</f>
        <v>Url</v>
      </c>
      <c r="D214">
        <v>4</v>
      </c>
      <c r="E214" t="str" cm="1">
        <f t="array" ref="E214">GetValue("Dmn","Name",D214)</f>
        <v>SmallInteger</v>
      </c>
      <c r="F214" t="str" cm="1">
        <f t="array" ref="F214">GetValue("Dmn","#CategoryName",D214)</f>
        <v>number</v>
      </c>
      <c r="G214">
        <f>IF(H214="Id",5,G213+5)</f>
        <v>10</v>
      </c>
      <c r="H214" t="str" cm="1">
        <f t="array" ref="H214">GetColumnName(C214,IF(B214=B213,H213,""))</f>
        <v>SniperId</v>
      </c>
      <c r="I214" t="str">
        <f>H214</f>
        <v>SniperId</v>
      </c>
      <c r="J214" t="str">
        <f>H214</f>
        <v>SniperId</v>
      </c>
      <c r="K214" t="b">
        <v>1</v>
      </c>
      <c r="L214" t="b">
        <v>0</v>
      </c>
      <c r="M214" t="b">
        <v>0</v>
      </c>
      <c r="N214" t="b">
        <v>1</v>
      </c>
      <c r="O214" t="b">
        <v>1</v>
      </c>
      <c r="P214" t="b">
        <v>1</v>
      </c>
      <c r="Q214" t="b">
        <v>0</v>
      </c>
      <c r="R214" t="b">
        <v>0</v>
      </c>
      <c r="S214" t="b">
        <v>0</v>
      </c>
      <c r="T214" t="b">
        <v>0</v>
      </c>
    </row>
    <row r="215">
      <c r="A215">
        <f>ROW(A215)-1</f>
        <v>214</v>
      </c>
      <c r="B215">
        <v>33</v>
      </c>
      <c r="C215" t="str" cm="1">
        <f t="array" ref="C215">GetValue("Tbl","Alias",B215)</f>
        <v>Url</v>
      </c>
      <c r="D215">
        <v>8</v>
      </c>
      <c r="E215" t="str" cm="1">
        <f t="array" ref="E215">GetValue("Dmn","Name",D215)</f>
        <v>NVARCHAR(15)</v>
      </c>
      <c r="F215" t="str" cm="1">
        <f t="array" ref="F215">GetValue("Dmn","#CategoryName",D215)</f>
        <v>string</v>
      </c>
      <c r="G215">
        <f>IF(H215="Id",5,G214+5)</f>
        <v>15</v>
      </c>
      <c r="H215" t="str" cm="1">
        <f t="array" ref="H215">GetColumnName(C215,IF(B215=B214,H214,""))</f>
        <v>Sequence</v>
      </c>
      <c r="I215" t="str">
        <f>H215</f>
        <v>Sequence</v>
      </c>
      <c r="J215" t="str">
        <f>H215</f>
        <v>Sequence</v>
      </c>
      <c r="K215" t="b">
        <v>1</v>
      </c>
      <c r="L215" t="b">
        <v>0</v>
      </c>
      <c r="M215" t="b">
        <v>0</v>
      </c>
      <c r="N215" t="b">
        <v>1</v>
      </c>
      <c r="O215" t="b">
        <v>1</v>
      </c>
      <c r="P215" t="b">
        <v>1</v>
      </c>
      <c r="Q215" t="b">
        <v>0</v>
      </c>
      <c r="R215" t="b">
        <v>0</v>
      </c>
      <c r="S215" t="b">
        <v>0</v>
      </c>
      <c r="T215" t="b">
        <v>0</v>
      </c>
    </row>
    <row r="216">
      <c r="A216">
        <f>ROW(A216)-1</f>
        <v>215</v>
      </c>
      <c r="B216">
        <v>33</v>
      </c>
      <c r="C216" t="str" cm="1">
        <f t="array" ref="C216">GetValue("Tbl","Alias",B216)</f>
        <v>Url</v>
      </c>
      <c r="D216">
        <v>13</v>
      </c>
      <c r="E216" t="str" cm="1">
        <f t="array" ref="E216">GetValue("Dmn","Name",D216)</f>
        <v>NVARCHAR(max)</v>
      </c>
      <c r="F216" t="str" cm="1">
        <f t="array" ref="F216">GetValue("Dmn","#CategoryName",D216)</f>
        <v>text</v>
      </c>
      <c r="G216">
        <f>IF(H216="Id",5,G215+5)</f>
        <v>20</v>
      </c>
      <c r="H216" t="str" cm="1">
        <f t="array" ref="H216">GetColumnName(C216,IF(B216=B215,H215,""))</f>
        <v>Method</v>
      </c>
      <c r="I216" t="str">
        <f>H216</f>
        <v>Method</v>
      </c>
      <c r="J216" t="str">
        <f>H216</f>
        <v>Method</v>
      </c>
      <c r="K216" t="b">
        <v>0</v>
      </c>
      <c r="L216" t="b">
        <v>0</v>
      </c>
      <c r="M216" t="b">
        <v>0</v>
      </c>
      <c r="N216" t="b">
        <v>1</v>
      </c>
      <c r="O216" t="b">
        <v>1</v>
      </c>
      <c r="P216" t="b">
        <v>1</v>
      </c>
      <c r="Q216" t="b">
        <v>0</v>
      </c>
      <c r="R216" t="b">
        <v>0</v>
      </c>
      <c r="S216" t="b">
        <v>0</v>
      </c>
      <c r="T216" t="b">
        <v>0</v>
      </c>
    </row>
    <row r="217">
      <c r="A217">
        <f>ROW(A217)-1</f>
        <v>216</v>
      </c>
      <c r="B217">
        <v>33</v>
      </c>
      <c r="C217" t="str" cm="1">
        <f t="array" ref="C217">GetValue("Tbl","Alias",B217)</f>
        <v>Url</v>
      </c>
      <c r="D217">
        <v>1</v>
      </c>
      <c r="E217" t="str" cm="1">
        <f t="array" ref="E217">GetValue("Dmn","Name",D217)</f>
        <v>BigInteger</v>
      </c>
      <c r="F217" t="str" cm="1">
        <f t="array" ref="F217">GetValue("Dmn","#CategoryName",D217)</f>
        <v>number</v>
      </c>
      <c r="G217">
        <f>IF(H217="Id",5,G216+5)</f>
        <v>25</v>
      </c>
      <c r="H217" t="str" cm="1">
        <f t="array" ref="H217">GetColumnName(C217,IF(B217=B216,H216,""))</f>
        <v>URL</v>
      </c>
      <c r="I217" t="str">
        <f>H217</f>
        <v>URL</v>
      </c>
      <c r="J217" t="str">
        <f>H217</f>
        <v>URL</v>
      </c>
      <c r="K217" t="b">
        <v>1</v>
      </c>
      <c r="L217" t="b">
        <v>0</v>
      </c>
      <c r="M217" t="b">
        <v>0</v>
      </c>
      <c r="N217" t="b">
        <v>1</v>
      </c>
      <c r="O217" t="b">
        <v>0</v>
      </c>
      <c r="P217" t="b">
        <v>0</v>
      </c>
      <c r="Q217" t="b">
        <v>0</v>
      </c>
      <c r="R217" t="b">
        <v>0</v>
      </c>
      <c r="S217" t="b">
        <v>0</v>
      </c>
      <c r="T217" t="b">
        <v>0</v>
      </c>
    </row>
    <row r="218">
      <c r="A218">
        <f>ROW(A218)-1</f>
        <v>217</v>
      </c>
      <c r="B218">
        <v>34</v>
      </c>
      <c r="C218" t="str" cm="1">
        <f t="array" ref="C218">GetValue("Tbl","Alias",B218)</f>
        <v>Ses</v>
      </c>
      <c r="D218">
        <v>1</v>
      </c>
      <c r="E218" t="str" cm="1">
        <f t="array" ref="E218">GetValue("Dmn","Name",D218)</f>
        <v>BigInteger</v>
      </c>
      <c r="F218" t="str" cm="1">
        <f t="array" ref="F218">GetValue("Dmn","#CategoryName",D218)</f>
        <v>number</v>
      </c>
      <c r="G218">
        <f>IF(H218="Id",5,G217+5)</f>
        <v>5</v>
      </c>
      <c r="H218" t="str" cm="1">
        <f t="array" ref="H218">GetColumnName(C218,IF(B218=B217,H217,""))</f>
        <v>Id</v>
      </c>
      <c r="I218" t="str">
        <f>H218</f>
        <v>Id</v>
      </c>
      <c r="J218" t="str">
        <f>H218</f>
        <v>Id</v>
      </c>
      <c r="K218" t="b">
        <v>1</v>
      </c>
      <c r="L218" t="b">
        <v>1</v>
      </c>
      <c r="M218" t="b">
        <v>1</v>
      </c>
      <c r="N218" t="b">
        <v>1</v>
      </c>
      <c r="O218" t="b">
        <v>0</v>
      </c>
      <c r="P218" t="b">
        <v>0</v>
      </c>
      <c r="Q218" t="b">
        <v>0</v>
      </c>
      <c r="R218" t="b">
        <v>0</v>
      </c>
      <c r="S218" t="b">
        <v>0</v>
      </c>
      <c r="T218" t="b">
        <v>0</v>
      </c>
    </row>
    <row r="219">
      <c r="A219">
        <f>ROW(A219)-1</f>
        <v>218</v>
      </c>
      <c r="B219">
        <v>34</v>
      </c>
      <c r="C219" t="str" cm="1">
        <f t="array" ref="C219">GetValue("Tbl","Alias",B219)</f>
        <v>Ses</v>
      </c>
      <c r="D219">
        <v>1</v>
      </c>
      <c r="E219" t="str" cm="1">
        <f t="array" ref="E219">GetValue("Dmn","Name",D219)</f>
        <v>BigInteger</v>
      </c>
      <c r="F219" t="str" cm="1">
        <f t="array" ref="F219">GetValue("Dmn","#CategoryName",D219)</f>
        <v>number</v>
      </c>
      <c r="G219">
        <f>IF(H219="Id",5,G218+5)</f>
        <v>10</v>
      </c>
      <c r="H219" t="str" cm="1">
        <f t="array" ref="H219">GetColumnName(C219,IF(B219=B218,H218,""))</f>
        <v>OwnertId</v>
      </c>
      <c r="I219" t="str">
        <f>H219</f>
        <v>OwnertId</v>
      </c>
      <c r="J219" t="str">
        <f>H219</f>
        <v>OwnertId</v>
      </c>
      <c r="K219" t="b">
        <v>1</v>
      </c>
      <c r="L219" t="b">
        <v>0</v>
      </c>
      <c r="M219" t="b">
        <v>0</v>
      </c>
      <c r="N219" t="b">
        <v>1</v>
      </c>
      <c r="O219" t="b">
        <v>1</v>
      </c>
      <c r="P219" t="b">
        <v>1</v>
      </c>
      <c r="Q219" t="b">
        <v>0</v>
      </c>
      <c r="R219" t="b">
        <v>0</v>
      </c>
      <c r="S219" t="b">
        <v>0</v>
      </c>
      <c r="T219" t="b">
        <v>0</v>
      </c>
    </row>
    <row r="220">
      <c r="A220">
        <f>ROW(A220)-1</f>
        <v>219</v>
      </c>
      <c r="B220">
        <v>34</v>
      </c>
      <c r="C220" t="str" cm="1">
        <f t="array" ref="C220">GetValue("Tbl","Alias",B220)</f>
        <v>Ses</v>
      </c>
      <c r="D220">
        <v>1</v>
      </c>
      <c r="E220" t="str" cm="1">
        <f t="array" ref="E220">GetValue("Dmn","Name",D220)</f>
        <v>BigInteger</v>
      </c>
      <c r="F220" t="str" cm="1">
        <f t="array" ref="F220">GetValue("Dmn","#CategoryName",D220)</f>
        <v>number</v>
      </c>
      <c r="G220">
        <f>IF(H220="Id",5,G219+5)</f>
        <v>15</v>
      </c>
      <c r="H220" t="str" cm="1">
        <f t="array" ref="H220">GetColumnName(C220,IF(B220=B219,H219,""))</f>
        <v>SystemId</v>
      </c>
      <c r="I220" t="str">
        <f>H220</f>
        <v>SystemId</v>
      </c>
      <c r="J220" t="str">
        <f>H220</f>
        <v>SystemId</v>
      </c>
      <c r="K220" t="b">
        <v>1</v>
      </c>
      <c r="L220" t="b">
        <v>0</v>
      </c>
      <c r="M220" t="b">
        <v>0</v>
      </c>
      <c r="N220" t="b">
        <v>1</v>
      </c>
      <c r="O220" t="b">
        <v>0</v>
      </c>
      <c r="P220" t="b">
        <v>1</v>
      </c>
      <c r="Q220" t="b">
        <v>0</v>
      </c>
      <c r="R220" t="b">
        <v>0</v>
      </c>
      <c r="S220" t="b">
        <v>0</v>
      </c>
      <c r="T220" t="b">
        <v>0</v>
      </c>
    </row>
    <row r="221">
      <c r="A221">
        <f>ROW(A221)-1</f>
        <v>220</v>
      </c>
      <c r="B221">
        <v>34</v>
      </c>
      <c r="C221" t="str" cm="1">
        <f t="array" ref="C221">GetValue("Tbl","Alias",B221)</f>
        <v>Ses</v>
      </c>
      <c r="D221">
        <v>19</v>
      </c>
      <c r="E221" t="str" cm="1">
        <f t="array" ref="E221">GetValue("Dmn","Name",D221)</f>
        <v>VARCHAR(256)</v>
      </c>
      <c r="F221" t="str" cm="1">
        <f t="array" ref="F221">GetValue("Dmn","#CategoryName",D221)</f>
        <v>string</v>
      </c>
      <c r="G221">
        <f>IF(H221="Id",5,G220+5)</f>
        <v>20</v>
      </c>
      <c r="H221" t="str" cm="1">
        <f t="array" ref="H221">GetColumnName(C221,IF(B221=B220,H220,""))</f>
        <v>UserId</v>
      </c>
      <c r="I221" t="str">
        <f>H221</f>
        <v>UserId</v>
      </c>
      <c r="J221" t="str">
        <f>H221</f>
        <v>UserId</v>
      </c>
      <c r="K221" t="b">
        <v>1</v>
      </c>
      <c r="L221" t="b">
        <v>0</v>
      </c>
      <c r="M221" t="b">
        <v>0</v>
      </c>
      <c r="N221" t="b">
        <v>1</v>
      </c>
      <c r="O221" t="b">
        <v>0</v>
      </c>
      <c r="P221" t="b">
        <v>1</v>
      </c>
      <c r="Q221" t="b">
        <v>0</v>
      </c>
      <c r="R221" t="b">
        <v>0</v>
      </c>
      <c r="S221" t="b">
        <v>0</v>
      </c>
      <c r="T221" t="b">
        <v>0</v>
      </c>
    </row>
    <row r="222">
      <c r="A222">
        <f>ROW(A222)-1</f>
        <v>221</v>
      </c>
      <c r="B222">
        <v>34</v>
      </c>
      <c r="C222" t="str" cm="1">
        <f t="array" ref="C222">GetValue("Tbl","Alias",B222)</f>
        <v>Ses</v>
      </c>
      <c r="D222">
        <v>6</v>
      </c>
      <c r="E222" t="str" cm="1">
        <f t="array" ref="E222">GetValue("Dmn","Name",D222)</f>
        <v>Boolean</v>
      </c>
      <c r="F222" t="str" cm="1">
        <f t="array" ref="F222">GetValue("Dmn","#CategoryName",D222)</f>
        <v>boolean</v>
      </c>
      <c r="G222">
        <f>IF(H222="Id",5,G221+5)</f>
        <v>25</v>
      </c>
      <c r="H222" t="str" cm="1">
        <f t="array" ref="H222">GetColumnName(C222,IF(B222=B221,H221,""))</f>
        <v>PublicKey</v>
      </c>
      <c r="I222" t="str">
        <f>H222</f>
        <v>PublicKey</v>
      </c>
      <c r="J222" t="str">
        <f>H222</f>
        <v>PublicKey</v>
      </c>
      <c r="K222" t="b">
        <v>0</v>
      </c>
      <c r="L222" t="b">
        <v>0</v>
      </c>
      <c r="M222" t="b">
        <v>0</v>
      </c>
      <c r="N222" t="b">
        <v>0</v>
      </c>
      <c r="O222" t="b">
        <v>0</v>
      </c>
      <c r="P222" t="b">
        <v>0</v>
      </c>
      <c r="Q222" t="b">
        <v>0</v>
      </c>
      <c r="R222" t="b">
        <v>0</v>
      </c>
      <c r="S222" t="b">
        <v>0</v>
      </c>
      <c r="T222" t="b">
        <v>0</v>
      </c>
    </row>
    <row r="223">
      <c r="A223">
        <f>ROW(A223)-1</f>
        <v>222</v>
      </c>
      <c r="B223">
        <v>34</v>
      </c>
      <c r="C223" t="str" cm="1">
        <f t="array" ref="C223">GetValue("Tbl","Alias",B223)</f>
        <v>Ses</v>
      </c>
      <c r="D223">
        <v>1</v>
      </c>
      <c r="E223" t="str" cm="1">
        <f t="array" ref="E223">GetValue("Dmn","Name",D223)</f>
        <v>BigInteger</v>
      </c>
      <c r="F223" t="str" cm="1">
        <f t="array" ref="F223">GetValue("Dmn","#CategoryName",D223)</f>
        <v>number</v>
      </c>
      <c r="G223">
        <f>IF(H223="Id",5,G222+5)</f>
        <v>30</v>
      </c>
      <c r="H223" t="str" cm="1">
        <f t="array" ref="H223">GetColumnName(C223,IF(B223=B222,H222,""))</f>
        <v>IsLogged</v>
      </c>
      <c r="I223" t="str">
        <f>H223</f>
        <v>IsLogged</v>
      </c>
      <c r="J223" t="str">
        <f>H223</f>
        <v>IsLogged</v>
      </c>
      <c r="K223" t="b">
        <v>1</v>
      </c>
      <c r="L223" t="b">
        <v>0</v>
      </c>
      <c r="M223" t="b">
        <v>0</v>
      </c>
      <c r="N223" t="b">
        <v>1</v>
      </c>
      <c r="O223" t="b">
        <v>0</v>
      </c>
      <c r="P223" t="b">
        <v>0</v>
      </c>
      <c r="Q223" t="b">
        <v>0</v>
      </c>
      <c r="R223" t="b">
        <v>0</v>
      </c>
      <c r="S223" t="b">
        <v>0</v>
      </c>
      <c r="T223" t="b">
        <v>0</v>
      </c>
    </row>
    <row r="224">
      <c r="A224">
        <f>ROW(A224)-1</f>
        <v>223</v>
      </c>
      <c r="B224">
        <v>35</v>
      </c>
      <c r="C224" t="str" cm="1">
        <f t="array" ref="C224">GetValue("Tbl","Alias",B224)</f>
        <v>Trs</v>
      </c>
      <c r="D224">
        <v>1</v>
      </c>
      <c r="E224" t="str" cm="1">
        <f t="array" ref="E224">GetValue("Dmn","Name",D224)</f>
        <v>BigInteger</v>
      </c>
      <c r="F224" t="str" cm="1">
        <f t="array" ref="F224">GetValue("Dmn","#CategoryName",D224)</f>
        <v>number</v>
      </c>
      <c r="G224">
        <f>IF(H224="Id",5,G223+5)</f>
        <v>5</v>
      </c>
      <c r="H224" t="str" cm="1">
        <f t="array" ref="H224">GetColumnName(C224,IF(B224=B223,H223,""))</f>
        <v>Id</v>
      </c>
      <c r="I224" t="str">
        <f>H224</f>
        <v>Id</v>
      </c>
      <c r="J224" t="str">
        <f>H224</f>
        <v>Id</v>
      </c>
      <c r="K224" t="b">
        <v>1</v>
      </c>
      <c r="L224" t="b">
        <v>1</v>
      </c>
      <c r="M224" t="b">
        <v>1</v>
      </c>
      <c r="N224" t="b">
        <v>1</v>
      </c>
      <c r="O224" t="b">
        <v>0</v>
      </c>
      <c r="P224" t="b">
        <v>0</v>
      </c>
      <c r="Q224" t="b">
        <v>0</v>
      </c>
      <c r="R224" t="b">
        <v>0</v>
      </c>
      <c r="S224" t="b">
        <v>0</v>
      </c>
      <c r="T224" t="b">
        <v>0</v>
      </c>
    </row>
    <row r="225">
      <c r="A225">
        <f>ROW(A225)-1</f>
        <v>224</v>
      </c>
      <c r="B225">
        <v>35</v>
      </c>
      <c r="C225" t="str" cm="1">
        <f t="array" ref="C225">GetValue("Tbl","Alias",B225)</f>
        <v>Trs</v>
      </c>
      <c r="D225">
        <v>6</v>
      </c>
      <c r="E225" t="str" cm="1">
        <f t="array" ref="E225">GetValue("Dmn","Name",D225)</f>
        <v>Boolean</v>
      </c>
      <c r="F225" t="str" cm="1">
        <f t="array" ref="F225">GetValue("Dmn","#CategoryName",D225)</f>
        <v>boolean</v>
      </c>
      <c r="G225">
        <f>IF(H225="Id",5,G224+5)</f>
        <v>10</v>
      </c>
      <c r="H225" t="str" cm="1">
        <f t="array" ref="H225">GetColumnName(C225,IF(B225=B224,H224,""))</f>
        <v>SessionId</v>
      </c>
      <c r="I225" t="str">
        <f>H225</f>
        <v>SessionId</v>
      </c>
      <c r="J225" t="str">
        <f>H225</f>
        <v>SessionId</v>
      </c>
      <c r="K225" t="b">
        <v>1</v>
      </c>
      <c r="L225" t="b">
        <v>0</v>
      </c>
      <c r="M225" t="b">
        <v>0</v>
      </c>
      <c r="N225" t="b">
        <v>0</v>
      </c>
      <c r="O225" t="b">
        <v>0</v>
      </c>
      <c r="P225" t="b">
        <v>0</v>
      </c>
      <c r="Q225" t="b">
        <v>0</v>
      </c>
      <c r="R225" t="b">
        <v>0</v>
      </c>
      <c r="S225" t="b">
        <v>0</v>
      </c>
      <c r="T225" t="b">
        <v>0</v>
      </c>
    </row>
    <row r="226">
      <c r="A226">
        <f>ROW(A226)-1</f>
        <v>225</v>
      </c>
      <c r="B226">
        <v>35</v>
      </c>
      <c r="C226" t="str" cm="1">
        <f t="array" ref="C226">GetValue("Tbl","Alias",B226)</f>
        <v>Trs</v>
      </c>
      <c r="D226">
        <v>1</v>
      </c>
      <c r="E226" t="str" cm="1">
        <f t="array" ref="E226">GetValue("Dmn","Name",D226)</f>
        <v>BigInteger</v>
      </c>
      <c r="F226" t="str" cm="1">
        <f t="array" ref="F226">GetValue("Dmn","#CategoryName",D226)</f>
        <v>number</v>
      </c>
      <c r="G226">
        <f>IF(H226="Id",5,G225+5)</f>
        <v>15</v>
      </c>
      <c r="H226" t="str" cm="1">
        <f t="array" ref="H226">GetColumnName(C226,IF(B226=B225,H225,""))</f>
        <v>IsConfirmed</v>
      </c>
      <c r="I226" t="str">
        <f>H226</f>
        <v>IsConfirmed</v>
      </c>
      <c r="J226" t="str">
        <f>H226</f>
        <v>IsConfirmed</v>
      </c>
      <c r="K226" t="b">
        <v>1</v>
      </c>
      <c r="L226" t="b">
        <v>0</v>
      </c>
      <c r="M226" t="b">
        <v>0</v>
      </c>
      <c r="N226" t="b">
        <v>1</v>
      </c>
      <c r="O226" t="b">
        <v>0</v>
      </c>
      <c r="P226" t="b">
        <v>0</v>
      </c>
      <c r="Q226" t="b">
        <v>0</v>
      </c>
      <c r="R226" t="b">
        <v>0</v>
      </c>
      <c r="S226" t="b">
        <v>0</v>
      </c>
      <c r="T226" t="b">
        <v>0</v>
      </c>
    </row>
    <row r="227">
      <c r="A227">
        <f>ROW(A227)-1</f>
        <v>226</v>
      </c>
      <c r="B227">
        <v>36</v>
      </c>
      <c r="C227" t="str" cm="1">
        <f t="array" ref="C227">GetValue("Tbl","Alias",B227)</f>
        <v>Ope</v>
      </c>
      <c r="D227">
        <v>1</v>
      </c>
      <c r="E227" t="str" cm="1">
        <f t="array" ref="E227">GetValue("Dmn","Name",D227)</f>
        <v>BigInteger</v>
      </c>
      <c r="F227" t="str" cm="1">
        <f t="array" ref="F227">GetValue("Dmn","#CategoryName",D227)</f>
        <v>number</v>
      </c>
      <c r="G227">
        <f>IF(H227="Id",5,G226+5)</f>
        <v>5</v>
      </c>
      <c r="H227" t="str" cm="1">
        <f t="array" ref="H227">GetColumnName(C227,IF(B227=B226,H226,""))</f>
        <v>Id</v>
      </c>
      <c r="I227" t="str">
        <f>H227</f>
        <v>Id</v>
      </c>
      <c r="J227" t="str">
        <f>H227</f>
        <v>Id</v>
      </c>
      <c r="K227" t="b">
        <v>1</v>
      </c>
      <c r="L227" t="b">
        <v>1</v>
      </c>
      <c r="M227" t="b">
        <v>1</v>
      </c>
      <c r="N227" t="b">
        <v>1</v>
      </c>
      <c r="O227" t="b">
        <v>0</v>
      </c>
      <c r="P227" t="b">
        <v>0</v>
      </c>
      <c r="Q227" t="b">
        <v>0</v>
      </c>
      <c r="R227" t="b">
        <v>0</v>
      </c>
      <c r="S227" t="b">
        <v>0</v>
      </c>
      <c r="T227" t="b">
        <v>0</v>
      </c>
    </row>
    <row r="228">
      <c r="A228">
        <f>ROW(A228)-1</f>
        <v>227</v>
      </c>
      <c r="B228">
        <v>36</v>
      </c>
      <c r="C228" t="str" cm="1">
        <f t="array" ref="C228">GetValue("Tbl","Alias",B228)</f>
        <v>Ope</v>
      </c>
      <c r="D228">
        <v>10</v>
      </c>
      <c r="E228" t="str" cm="1">
        <f t="array" ref="E228">GetValue("Dmn","Name",D228)</f>
        <v>NVARCHAR(25)</v>
      </c>
      <c r="F228" t="str" cm="1">
        <f t="array" ref="F228">GetValue("Dmn","#CategoryName",D228)</f>
        <v>string</v>
      </c>
      <c r="G228">
        <f>IF(H228="Id",5,G227+5)</f>
        <v>10</v>
      </c>
      <c r="H228" t="str" cm="1">
        <f t="array" ref="H228">GetColumnName(C228,IF(B228=B227,H227,""))</f>
        <v>TransactionId</v>
      </c>
      <c r="I228" t="str">
        <f>H228</f>
        <v>TransactionId</v>
      </c>
      <c r="J228" t="str">
        <f>H228</f>
        <v>TransactionId</v>
      </c>
      <c r="K228" t="b">
        <v>1</v>
      </c>
      <c r="L228" t="b">
        <v>0</v>
      </c>
      <c r="M228" t="b">
        <v>0</v>
      </c>
      <c r="N228" t="b">
        <v>0</v>
      </c>
      <c r="O228" t="b">
        <v>0</v>
      </c>
      <c r="P228" t="b">
        <v>0</v>
      </c>
      <c r="Q228" t="b">
        <v>0</v>
      </c>
      <c r="R228" t="b">
        <v>0</v>
      </c>
      <c r="S228" t="b">
        <v>0</v>
      </c>
      <c r="T228" t="b">
        <v>0</v>
      </c>
    </row>
    <row r="229">
      <c r="A229">
        <f>ROW(A229)-1</f>
        <v>228</v>
      </c>
      <c r="B229">
        <v>36</v>
      </c>
      <c r="C229" t="str" cm="1">
        <f t="array" ref="C229">GetValue("Tbl","Alias",B229)</f>
        <v>Ope</v>
      </c>
      <c r="D229">
        <v>8</v>
      </c>
      <c r="E229" t="str" cm="1">
        <f t="array" ref="E229">GetValue("Dmn","Name",D229)</f>
        <v>NVARCHAR(15)</v>
      </c>
      <c r="F229" t="str" cm="1">
        <f t="array" ref="F229">GetValue("Dmn","#CategoryName",D229)</f>
        <v>string</v>
      </c>
      <c r="G229">
        <f>IF(H229="Id",5,G228+5)</f>
        <v>15</v>
      </c>
      <c r="H229" t="str" cm="1">
        <f t="array" ref="H229">GetColumnName(C229,IF(B229=B228,H228,""))</f>
        <v>TableName</v>
      </c>
      <c r="I229" t="str">
        <f>H229</f>
        <v>TableName</v>
      </c>
      <c r="J229" t="str">
        <f>H229</f>
        <v>TableName</v>
      </c>
      <c r="K229" t="b">
        <v>1</v>
      </c>
      <c r="L229" t="b">
        <v>0</v>
      </c>
      <c r="M229" t="b">
        <v>0</v>
      </c>
      <c r="N229" t="b">
        <v>0</v>
      </c>
      <c r="O229" t="b">
        <v>0</v>
      </c>
      <c r="P229" t="b">
        <v>0</v>
      </c>
      <c r="Q229" t="b">
        <v>0</v>
      </c>
      <c r="R229" t="b">
        <v>0</v>
      </c>
      <c r="S229" t="b">
        <v>0</v>
      </c>
      <c r="T229" t="b">
        <v>0</v>
      </c>
    </row>
    <row r="230">
      <c r="A230">
        <f>ROW(A230)-1</f>
        <v>229</v>
      </c>
      <c r="B230">
        <v>36</v>
      </c>
      <c r="C230" t="str" cm="1">
        <f t="array" ref="C230">GetValue("Tbl","Alias",B230)</f>
        <v>Ope</v>
      </c>
      <c r="D230">
        <v>13</v>
      </c>
      <c r="E230" t="str" cm="1">
        <f t="array" ref="E230">GetValue("Dmn","Name",D230)</f>
        <v>NVARCHAR(max)</v>
      </c>
      <c r="F230" t="str" cm="1">
        <f t="array" ref="F230">GetValue("Dmn","#CategoryName",D230)</f>
        <v>text</v>
      </c>
      <c r="G230">
        <f>IF(H230="Id",5,G229+5)</f>
        <v>20</v>
      </c>
      <c r="H230" t="str" cm="1">
        <f t="array" ref="H230">GetColumnName(C230,IF(B230=B229,H229,""))</f>
        <v>Action</v>
      </c>
      <c r="I230" t="str">
        <f>H230</f>
        <v>Action</v>
      </c>
      <c r="J230" t="str">
        <f>H230</f>
        <v>Action</v>
      </c>
      <c r="K230" t="b">
        <v>1</v>
      </c>
      <c r="L230" t="b">
        <v>0</v>
      </c>
      <c r="M230" t="b">
        <v>0</v>
      </c>
      <c r="N230" t="b">
        <v>0</v>
      </c>
      <c r="O230" t="b">
        <v>0</v>
      </c>
      <c r="P230" t="b">
        <v>0</v>
      </c>
      <c r="Q230" t="b">
        <v>0</v>
      </c>
      <c r="R230" t="b">
        <v>0</v>
      </c>
      <c r="S230" t="b">
        <v>0</v>
      </c>
      <c r="T230" t="b">
        <v>0</v>
      </c>
    </row>
    <row r="231">
      <c r="A231">
        <f>ROW(A231)-1</f>
        <v>230</v>
      </c>
      <c r="B231">
        <v>36</v>
      </c>
      <c r="C231" t="str" cm="1">
        <f t="array" ref="C231">GetValue("Tbl","Alias",B231)</f>
        <v>Ope</v>
      </c>
      <c r="D231">
        <v>13</v>
      </c>
      <c r="E231" t="str" cm="1">
        <f t="array" ref="E231">GetValue("Dmn","Name",D231)</f>
        <v>NVARCHAR(max)</v>
      </c>
      <c r="F231" t="str" cm="1">
        <f t="array" ref="F231">GetValue("Dmn","#CategoryName",D231)</f>
        <v>text</v>
      </c>
      <c r="G231">
        <f>IF(H231="Id",5,G230+5)</f>
        <v>25</v>
      </c>
      <c r="H231" t="str" cm="1">
        <f t="array" ref="H231">GetColumnName(C231,IF(B231=B230,H230,""))</f>
        <v>LastRecord</v>
      </c>
      <c r="I231" t="str">
        <f>H231</f>
        <v>LastRecord</v>
      </c>
      <c r="J231" t="str">
        <f>H231</f>
        <v>LastRecord</v>
      </c>
      <c r="K231" t="b">
        <v>0</v>
      </c>
      <c r="L231" t="b">
        <v>0</v>
      </c>
      <c r="M231" t="b">
        <v>0</v>
      </c>
      <c r="N231" t="b">
        <v>0</v>
      </c>
      <c r="O231" t="b">
        <v>0</v>
      </c>
      <c r="P231" t="b">
        <v>0</v>
      </c>
      <c r="Q231" t="b">
        <v>0</v>
      </c>
      <c r="R231" t="b">
        <v>0</v>
      </c>
      <c r="S231" t="b">
        <v>0</v>
      </c>
      <c r="T231" t="b">
        <v>0</v>
      </c>
    </row>
    <row r="232">
      <c r="A232">
        <f>ROW(A232)-1</f>
        <v>231</v>
      </c>
      <c r="B232">
        <v>36</v>
      </c>
      <c r="C232" t="str" cm="1">
        <f t="array" ref="C232">GetValue("Tbl","Alias",B232)</f>
        <v>Ope</v>
      </c>
      <c r="D232">
        <v>6</v>
      </c>
      <c r="E232" t="str" cm="1">
        <f t="array" ref="E232">GetValue("Dmn","Name",D232)</f>
        <v>Boolean</v>
      </c>
      <c r="F232" t="str" cm="1">
        <f t="array" ref="F232">GetValue("Dmn","#CategoryName",D232)</f>
        <v>boolean</v>
      </c>
      <c r="G232">
        <f>IF(H232="Id",5,G231+5)</f>
        <v>30</v>
      </c>
      <c r="H232" t="str" cm="1">
        <f t="array" ref="H232">GetColumnName(C232,IF(B232=B231,H231,""))</f>
        <v>ActualRecord</v>
      </c>
      <c r="I232" t="str">
        <f>H232</f>
        <v>ActualRecord</v>
      </c>
      <c r="J232" t="str">
        <f>H232</f>
        <v>ActualRecord</v>
      </c>
      <c r="K232" t="b">
        <v>1</v>
      </c>
      <c r="L232" t="b">
        <v>0</v>
      </c>
      <c r="M232" t="b">
        <v>0</v>
      </c>
      <c r="N232" t="b">
        <v>0</v>
      </c>
      <c r="O232" t="b">
        <v>0</v>
      </c>
      <c r="P232" t="b">
        <v>0</v>
      </c>
      <c r="Q232" t="b">
        <v>0</v>
      </c>
      <c r="R232" t="b">
        <v>0</v>
      </c>
      <c r="S232" t="b">
        <v>0</v>
      </c>
      <c r="T232" t="b">
        <v>0</v>
      </c>
    </row>
    <row r="233">
      <c r="A233">
        <f>ROW(A233)-1</f>
        <v>232</v>
      </c>
      <c r="B233">
        <v>36</v>
      </c>
      <c r="C233" t="str" cm="1">
        <f t="array" ref="C233">GetValue("Tbl","Alias",B233)</f>
        <v>Ope</v>
      </c>
      <c r="D233">
        <v>6</v>
      </c>
      <c r="E233" t="str" cm="1">
        <f t="array" ref="E233">GetValue("Dmn","Name",D233)</f>
        <v>Boolean</v>
      </c>
      <c r="F233" t="str" cm="1">
        <f t="array" ref="F233">GetValue("Dmn","#CategoryName",D233)</f>
        <v>boolean</v>
      </c>
      <c r="G233">
        <f>IF(H233="Id",5,G232+5)</f>
        <v>35</v>
      </c>
      <c r="H233" t="str" cm="1">
        <f t="array" ref="H233">GetColumnName(C233,IF(B233=B232,H232,""))</f>
        <v>IsConfirmed</v>
      </c>
      <c r="I233" t="str">
        <f>H233</f>
        <v>IsConfirmed</v>
      </c>
      <c r="J233" t="str">
        <f>H233</f>
        <v>IsConfirmed</v>
      </c>
      <c r="K233" t="b">
        <v>0</v>
      </c>
      <c r="L233" t="b">
        <v>0</v>
      </c>
      <c r="M233" t="b">
        <v>0</v>
      </c>
      <c r="N233" t="b">
        <v>0</v>
      </c>
      <c r="O233" t="b">
        <v>0</v>
      </c>
      <c r="P233" t="b">
        <v>0</v>
      </c>
      <c r="Q233" t="b">
        <v>0</v>
      </c>
      <c r="R233" t="b">
        <v>0</v>
      </c>
      <c r="S233" t="b">
        <v>0</v>
      </c>
      <c r="T233" t="b">
        <v>0</v>
      </c>
    </row>
  </sheetData>
  <pageMargins left="0.511811024" right="0.511811024" top="0.787401575" bottom="0.787401575" header="0.31496062" footer="0.31496062"/>
  <ignoredErrors>
    <ignoredError numberStoredAsText="1" sqref="A1:T233"/>
  </ignoredErrors>
</worksheet>
</file>

<file path=xl/worksheets/sheet18.xml><?xml version="1.0" encoding="utf-8"?>
<worksheet xmlns="http://schemas.openxmlformats.org/spreadsheetml/2006/main" xmlns:r="http://schemas.openxmlformats.org/officeDocument/2006/relationships">
  <dimension ref="A1:E41"/>
  <sheetViews>
    <sheetView workbookViewId="0" rightToLeft="0"/>
  </sheetViews>
  <sheetData>
    <row r="1">
      <c r="A1" t="str">
        <v>*Id</v>
      </c>
      <c r="B1" t="str">
        <v>TableId</v>
      </c>
      <c r="C1" t="str">
        <v>#TableName</v>
      </c>
      <c r="D1" t="str">
        <v>Name</v>
      </c>
      <c r="E1" t="str">
        <v>IsUnique</v>
      </c>
    </row>
    <row r="2">
      <c r="A2">
        <f>ROW(A2)-1</f>
        <v>1</v>
      </c>
      <c r="B2">
        <v>1</v>
      </c>
      <c r="C2" t="str" cm="1">
        <f t="array" ref="C2">GetValue("Tbl","Name",B2)</f>
        <v>Categories</v>
      </c>
      <c r="D2" t="str">
        <v>UNQ_Categories_Name</v>
      </c>
      <c r="E2" t="b">
        <v>1</v>
      </c>
    </row>
    <row r="3">
      <c r="A3">
        <f>ROW(A3)-1</f>
        <v>2</v>
      </c>
      <c r="B3">
        <v>2</v>
      </c>
      <c r="C3" t="str" cm="1">
        <f t="array" ref="C3">GetValue("Tbl","Name",B3)</f>
        <v>Comparators</v>
      </c>
      <c r="D3" t="str">
        <v>UNQ_Types_Name</v>
      </c>
      <c r="E3" t="b">
        <v>1</v>
      </c>
    </row>
    <row r="4">
      <c r="A4">
        <f>ROW(A4)-1</f>
        <v>3</v>
      </c>
      <c r="B4">
        <v>3</v>
      </c>
      <c r="C4" t="str" cm="1">
        <f t="array" ref="C4">GetValue("Tbl","Name",B4)</f>
        <v>Rules</v>
      </c>
      <c r="D4" t="str">
        <v>UNQ_Masks_Name</v>
      </c>
      <c r="E4" t="b">
        <v>1</v>
      </c>
    </row>
    <row r="5">
      <c r="A5">
        <f>ROW(A5)-1</f>
        <v>4</v>
      </c>
      <c r="B5">
        <v>4</v>
      </c>
      <c r="C5" t="str" cm="1">
        <f t="array" ref="C5">GetValue("Tbl","Name",B5)</f>
        <v>Engines</v>
      </c>
      <c r="D5" t="str">
        <v>UNQ_Domains_Name</v>
      </c>
      <c r="E5" t="b">
        <v>1</v>
      </c>
    </row>
    <row r="6">
      <c r="A6">
        <f>ROW(A6)-1</f>
        <v>5</v>
      </c>
      <c r="B6">
        <v>5</v>
      </c>
      <c r="C6" t="str" cm="1">
        <f t="array" ref="C6">GetValue("Tbl","Name",B6)</f>
        <v>Types</v>
      </c>
      <c r="D6" t="str">
        <v>UNQ_Systems_Name</v>
      </c>
      <c r="E6" t="b">
        <v>1</v>
      </c>
    </row>
    <row r="7">
      <c r="A7">
        <f>ROW(A7)-1</f>
        <v>6</v>
      </c>
      <c r="B7">
        <v>6</v>
      </c>
      <c r="C7" t="str" cm="1">
        <f t="array" ref="C7">GetValue("Tbl","Name",B7)</f>
        <v>Mappings</v>
      </c>
      <c r="D7" t="str">
        <v>UNQ_Menus_SystemId_Sequence</v>
      </c>
      <c r="E7" t="b">
        <v>1</v>
      </c>
    </row>
    <row r="8">
      <c r="A8">
        <f>ROW(A8)-1</f>
        <v>7</v>
      </c>
      <c r="B8">
        <v>6</v>
      </c>
      <c r="C8" t="str" cm="1">
        <f t="array" ref="C8">GetValue("Tbl","Name",B8)</f>
        <v>Mappings</v>
      </c>
      <c r="D8" t="str">
        <v>UNQ_Menus_SystemId_Caption</v>
      </c>
      <c r="E8" t="b">
        <v>1</v>
      </c>
    </row>
    <row r="9">
      <c r="A9">
        <f>ROW(A9)-1</f>
        <v>8</v>
      </c>
      <c r="B9">
        <v>7</v>
      </c>
      <c r="C9" t="str" cm="1">
        <f t="array" ref="C9">GetValue("Tbl","Name",B9)</f>
        <v>Owners</v>
      </c>
      <c r="D9" t="str">
        <v>UNQ_Users_Name</v>
      </c>
      <c r="E9" t="b">
        <v>1</v>
      </c>
    </row>
    <row r="10">
      <c r="A10">
        <f>ROW(A10)-1</f>
        <v>9</v>
      </c>
      <c r="B10">
        <v>8</v>
      </c>
      <c r="C10" t="str" cm="1">
        <f t="array" ref="C10">GetValue("Tbl","Name",B10)</f>
        <v>Domains</v>
      </c>
      <c r="D10" t="str">
        <v>UNQ_SystemsUsers_SystemId_UserId</v>
      </c>
      <c r="E10" t="b">
        <v>1</v>
      </c>
    </row>
    <row r="11">
      <c r="A11">
        <f>ROW(A11)-1</f>
        <v>10</v>
      </c>
      <c r="B11">
        <v>8</v>
      </c>
      <c r="C11" t="str" cm="1">
        <f t="array" ref="C11">GetValue("Tbl","Name",B11)</f>
        <v>Domains</v>
      </c>
      <c r="D11" t="str">
        <v>UNQ_SystemsUsers_Name</v>
      </c>
      <c r="E11" t="b">
        <v>1</v>
      </c>
    </row>
    <row r="12">
      <c r="A12">
        <f>ROW(A12)-1</f>
        <v>11</v>
      </c>
      <c r="B12">
        <v>10</v>
      </c>
      <c r="C12" t="str" cm="1">
        <f t="array" ref="C12">GetValue("Tbl","Name",B12)</f>
        <v>Maskings</v>
      </c>
      <c r="D12" t="str">
        <v>UNQ_Databases_Name</v>
      </c>
      <c r="E12" t="b">
        <v>1</v>
      </c>
    </row>
    <row r="13">
      <c r="A13">
        <f>ROW(A13)-1</f>
        <v>12</v>
      </c>
      <c r="B13">
        <v>10</v>
      </c>
      <c r="C13" t="str" cm="1">
        <f t="array" ref="C13">GetValue("Tbl","Name",B13)</f>
        <v>Maskings</v>
      </c>
      <c r="D13" t="str">
        <v>UNQ_Databases_Alias</v>
      </c>
      <c r="E13" t="b">
        <v>1</v>
      </c>
    </row>
    <row r="14">
      <c r="A14">
        <f>ROW(A14)-1</f>
        <v>13</v>
      </c>
      <c r="B14">
        <v>11</v>
      </c>
      <c r="C14" t="str" cm="1">
        <f t="array" ref="C14">GetValue("Tbl","Name",B14)</f>
        <v>Databases</v>
      </c>
      <c r="D14" t="str">
        <v>UNQ_SystemsDatabases_SystemId_DatabaseId</v>
      </c>
      <c r="E14" t="b">
        <v>1</v>
      </c>
    </row>
    <row r="15">
      <c r="A15">
        <f>ROW(A15)-1</f>
        <v>14</v>
      </c>
      <c r="B15">
        <v>11</v>
      </c>
      <c r="C15" t="str" cm="1">
        <f t="array" ref="C15">GetValue("Tbl","Name",B15)</f>
        <v>Databases</v>
      </c>
      <c r="D15" t="str">
        <v>UNQ_SystemsDatabases_Name</v>
      </c>
      <c r="E15" t="b">
        <v>1</v>
      </c>
    </row>
    <row r="16">
      <c r="A16">
        <f>ROW(A16)-1</f>
        <v>15</v>
      </c>
      <c r="B16">
        <v>12</v>
      </c>
      <c r="C16" t="str" cm="1">
        <f t="array" ref="C16">GetValue("Tbl","Name",B16)</f>
        <v>Environments</v>
      </c>
      <c r="D16" t="str">
        <v>UNQ_Tables_Name</v>
      </c>
      <c r="E16" t="b">
        <v>1</v>
      </c>
    </row>
    <row r="17">
      <c r="A17">
        <f>ROW(A17)-1</f>
        <v>16</v>
      </c>
      <c r="B17">
        <v>12</v>
      </c>
      <c r="C17" t="str" cm="1">
        <f t="array" ref="C17">GetValue("Tbl","Name",B17)</f>
        <v>Environments</v>
      </c>
      <c r="D17" t="str">
        <v>UNQ_Tables_Alias</v>
      </c>
      <c r="E17" t="b">
        <v>1</v>
      </c>
    </row>
    <row r="18">
      <c r="A18">
        <f>ROW(A18)-1</f>
        <v>17</v>
      </c>
      <c r="B18">
        <v>13</v>
      </c>
      <c r="C18" t="str" cm="1">
        <f t="array" ref="C18">GetValue("Tbl","Name",B18)</f>
        <v>Connections</v>
      </c>
      <c r="D18" t="str">
        <v>UNQ_DatabasesTables_DatabaseId_TableId</v>
      </c>
      <c r="E18" t="b">
        <v>1</v>
      </c>
    </row>
    <row r="19">
      <c r="A19">
        <f>ROW(A19)-1</f>
        <v>18</v>
      </c>
      <c r="B19">
        <v>13</v>
      </c>
      <c r="C19" t="str" cm="1">
        <f t="array" ref="C19">GetValue("Tbl","Name",B19)</f>
        <v>Connections</v>
      </c>
      <c r="D19" t="str">
        <v>UNQ_DatabasesTables_Name</v>
      </c>
      <c r="E19" t="b">
        <v>1</v>
      </c>
    </row>
    <row r="20">
      <c r="A20">
        <f>ROW(A20)-1</f>
        <v>19</v>
      </c>
      <c r="B20">
        <v>14</v>
      </c>
      <c r="C20" t="str" cm="1">
        <f t="array" ref="C20">GetValue("Tbl","Name",B20)</f>
        <v>Systems</v>
      </c>
      <c r="D20" t="str">
        <v>UNQ_Columns_TableId_Name</v>
      </c>
      <c r="E20" t="b">
        <v>1</v>
      </c>
    </row>
    <row r="21">
      <c r="A21">
        <f>ROW(A21)-1</f>
        <v>20</v>
      </c>
      <c r="B21">
        <v>14</v>
      </c>
      <c r="C21" t="str" cm="1">
        <f t="array" ref="C21">GetValue("Tbl","Name",B21)</f>
        <v>Systems</v>
      </c>
      <c r="D21" t="str">
        <v>UNQ_Columns_TableId_Sequence</v>
      </c>
      <c r="E21" t="b">
        <v>1</v>
      </c>
    </row>
    <row r="22">
      <c r="A22">
        <f>ROW(A22)-1</f>
        <v>21</v>
      </c>
      <c r="B22">
        <v>15</v>
      </c>
      <c r="C22" t="str" cm="1">
        <f t="array" ref="C22">GetValue("Tbl","Name",B22)</f>
        <v>Menus</v>
      </c>
      <c r="D22" t="str">
        <v>UNQ_Indexes_Name</v>
      </c>
      <c r="E22" t="b">
        <v>1</v>
      </c>
    </row>
    <row r="23">
      <c r="A23">
        <f>ROW(A23)-1</f>
        <v>22</v>
      </c>
      <c r="B23">
        <v>16</v>
      </c>
      <c r="C23" t="str" cm="1">
        <f t="array" ref="C23">GetValue("Tbl","Name",B23)</f>
        <v>Tables</v>
      </c>
      <c r="D23" t="str">
        <v>UNQ_Indexkeys_IndexId_Sequence</v>
      </c>
      <c r="E23" t="b">
        <v>1</v>
      </c>
    </row>
    <row r="24">
      <c r="A24">
        <f>ROW(A24)-1</f>
        <v>23</v>
      </c>
      <c r="B24">
        <v>16</v>
      </c>
      <c r="C24" t="str" cm="1">
        <f t="array" ref="C24">GetValue("Tbl","Name",B24)</f>
        <v>Tables</v>
      </c>
      <c r="D24" t="str">
        <v>UNQ_Indexkeys_IndexId_ColumnId</v>
      </c>
      <c r="E24" t="b">
        <v>1</v>
      </c>
    </row>
    <row r="25">
      <c r="A25">
        <f>ROW(A25)-1</f>
        <v>24</v>
      </c>
      <c r="B25">
        <v>17</v>
      </c>
      <c r="C25" t="str" cm="1">
        <f t="array" ref="C25">GetValue("Tbl","Name",B25)</f>
        <v>Columns</v>
      </c>
      <c r="D25" t="str">
        <v>IDX_Sessions_SystemId_UserId_IsLogged</v>
      </c>
      <c r="E25" t="b">
        <v>0</v>
      </c>
    </row>
    <row r="26">
      <c r="A26">
        <f>ROW(A26)-1</f>
        <v>25</v>
      </c>
      <c r="B26">
        <v>18</v>
      </c>
      <c r="C26" t="str" cm="1">
        <f t="array" ref="C26">GetValue("Tbl","Name",B26)</f>
        <v>Indexes</v>
      </c>
      <c r="D26" t="str">
        <v>IDX_Transactions_SessionId_IsConfirmed</v>
      </c>
      <c r="E26" t="b">
        <v>0</v>
      </c>
    </row>
    <row r="27">
      <c r="A27">
        <f>ROW(A27)-1</f>
        <v>26</v>
      </c>
      <c r="B27">
        <v>19</v>
      </c>
      <c r="C27" t="str" cm="1">
        <f t="array" ref="C27">GetValue("Tbl","Name",B27)</f>
        <v>Indexkeys</v>
      </c>
      <c r="D27" t="str">
        <v>IDX_Operations_TransactionId_TableName_IsConfirmed</v>
      </c>
      <c r="E27" t="b">
        <v>0</v>
      </c>
    </row>
    <row r="28">
      <c r="A28">
        <f>ROW(A28)-1</f>
        <v>27</v>
      </c>
      <c r="B28">
        <v>20</v>
      </c>
      <c r="C28" t="str" cm="1">
        <f t="array" ref="C28">GetValue("Tbl","Name",B28)</f>
        <v>Includes</v>
      </c>
      <c r="D28" t="str">
        <v>UNQ_Unicities_ColumnId1_ColumnId2</v>
      </c>
      <c r="E28" t="b">
        <v>1</v>
      </c>
    </row>
    <row r="29">
      <c r="A29">
        <f>ROW(A29)-1</f>
        <v>28</v>
      </c>
      <c r="B29">
        <v>20</v>
      </c>
      <c r="C29" t="str" cm="1">
        <f t="array" ref="C29">GetValue("Tbl","Name",B29)</f>
        <v>Includes</v>
      </c>
      <c r="D29" t="str">
        <v>UNQ_Unicities_ColumnId2_ColumnId1</v>
      </c>
      <c r="E29" t="b">
        <v>1</v>
      </c>
    </row>
    <row r="30">
      <c r="A30">
        <f>ROW(A30)-1</f>
        <v>29</v>
      </c>
      <c r="B30">
        <v>21</v>
      </c>
      <c r="C30" t="str" cm="1">
        <f t="array" ref="C30">GetValue("Tbl","Name",B30)</f>
        <v>Unicities</v>
      </c>
      <c r="D30" t="str">
        <v>UNQ_Unicities_ColumnId2_ColumnId1</v>
      </c>
      <c r="E30" t="b">
        <v>1</v>
      </c>
    </row>
    <row r="31">
      <c r="A31">
        <f>ROW(A31)-1</f>
        <v>30</v>
      </c>
      <c r="B31">
        <v>22</v>
      </c>
      <c r="C31" t="str" cm="1">
        <f t="array" ref="C31">GetValue("Tbl","Name",B31)</f>
        <v>Expressions</v>
      </c>
      <c r="D31" t="str">
        <v>UNQ_Unicities_ColumnId2_ColumnId1</v>
      </c>
      <c r="E31" t="b">
        <v>1</v>
      </c>
    </row>
    <row r="32">
      <c r="A32">
        <f>ROW(A32)-1</f>
        <v>31</v>
      </c>
      <c r="B32">
        <v>23</v>
      </c>
      <c r="C32" t="str" cm="1">
        <f t="array" ref="C32">GetValue("Tbl","Name",B32)</f>
        <v>Conditions</v>
      </c>
      <c r="D32" t="str">
        <v>UNQ_Unicities_ColumnId2_ColumnId1</v>
      </c>
      <c r="E32" t="b">
        <v>1</v>
      </c>
    </row>
    <row r="33">
      <c r="A33">
        <f>ROW(A33)-1</f>
        <v>32</v>
      </c>
      <c r="B33">
        <v>24</v>
      </c>
      <c r="C33" t="str" cm="1">
        <f t="array" ref="C33">GetValue("Tbl","Name",B33)</f>
        <v>References</v>
      </c>
      <c r="D33" t="str">
        <v>UNQ_Unicities_ColumnId2_ColumnId1</v>
      </c>
      <c r="E33" t="b">
        <v>1</v>
      </c>
    </row>
    <row r="34">
      <c r="A34">
        <f>ROW(A34)-1</f>
        <v>33</v>
      </c>
      <c r="B34">
        <v>25</v>
      </c>
      <c r="C34" t="str" cm="1">
        <f t="array" ref="C34">GetValue("Tbl","Name",B34)</f>
        <v>Referencekeys</v>
      </c>
      <c r="D34" t="str">
        <v>UNQ_Unicities_ColumnId2_ColumnId1</v>
      </c>
      <c r="E34" t="b">
        <v>1</v>
      </c>
    </row>
    <row r="35">
      <c r="A35">
        <f>ROW(A35)-1</f>
        <v>34</v>
      </c>
      <c r="B35">
        <v>26</v>
      </c>
      <c r="C35" t="str" cm="1">
        <f t="array" ref="C35">GetValue("Tbl","Name",B35)</f>
        <v>Users</v>
      </c>
      <c r="D35" t="str">
        <v>UNQ_Unicities_ColumnId2_ColumnId1</v>
      </c>
      <c r="E35" t="b">
        <v>1</v>
      </c>
    </row>
    <row r="36">
      <c r="A36">
        <f>ROW(A36)-1</f>
        <v>35</v>
      </c>
      <c r="B36">
        <v>27</v>
      </c>
      <c r="C36" t="str" cm="1">
        <f t="array" ref="C36">GetValue("Tbl","Name",B36)</f>
        <v>Permissions</v>
      </c>
      <c r="D36" t="str">
        <v>UNQ_Unicities_ColumnId2_ColumnId1</v>
      </c>
      <c r="E36" t="b">
        <v>1</v>
      </c>
    </row>
    <row r="37">
      <c r="A37">
        <f>ROW(A37)-1</f>
        <v>36</v>
      </c>
      <c r="B37">
        <v>28</v>
      </c>
      <c r="C37" t="str" cm="1">
        <f t="array" ref="C37">GetValue("Tbl","Name",B37)</f>
        <v>Properties</v>
      </c>
      <c r="D37" t="str">
        <v>UNQ_Unicities_ColumnId2_ColumnId1</v>
      </c>
      <c r="E37" t="b">
        <v>1</v>
      </c>
    </row>
    <row r="38">
      <c r="A38">
        <f>ROW(A38)-1</f>
        <v>37</v>
      </c>
      <c r="B38">
        <v>29</v>
      </c>
      <c r="C38" t="str" cm="1">
        <f t="array" ref="C38">GetValue("Tbl","Name",B38)</f>
        <v>Behaviors</v>
      </c>
      <c r="D38" t="str">
        <v>UNQ_Unicities_ColumnId2_ColumnId1</v>
      </c>
      <c r="E38" t="b">
        <v>1</v>
      </c>
    </row>
    <row r="39">
      <c r="A39">
        <f>ROW(A39)-1</f>
        <v>38</v>
      </c>
      <c r="B39">
        <v>30</v>
      </c>
      <c r="C39" t="str" cm="1">
        <f t="array" ref="C39">GetValue("Tbl","Name",B39)</f>
        <v>Schedulers</v>
      </c>
      <c r="D39" t="str">
        <v>UNQ_Unicities_ColumnId2_ColumnId1</v>
      </c>
      <c r="E39" t="b">
        <v>1</v>
      </c>
    </row>
    <row r="40">
      <c r="A40">
        <f>ROW(A40)-1</f>
        <v>39</v>
      </c>
      <c r="B40">
        <v>31</v>
      </c>
      <c r="C40" t="str" cm="1">
        <f t="array" ref="C40">GetValue("Tbl","Name",B40)</f>
        <v>Snipers</v>
      </c>
      <c r="D40" t="str">
        <v>UNQ_Unicities_ColumnId2_ColumnId1</v>
      </c>
      <c r="E40" t="b">
        <v>1</v>
      </c>
    </row>
    <row r="41">
      <c r="A41">
        <f>ROW(A41)-1</f>
        <v>40</v>
      </c>
      <c r="B41">
        <v>32</v>
      </c>
      <c r="C41" t="str" cm="1">
        <f t="array" ref="C41">GetValue("Tbl","Name",B41)</f>
        <v>Scripts</v>
      </c>
      <c r="D41" t="str">
        <v>UNQ_Unicities_ColumnId2_ColumnId1</v>
      </c>
      <c r="E41" t="b">
        <v>1</v>
      </c>
    </row>
  </sheetData>
  <pageMargins left="0.511811024" right="0.511811024" top="0.787401575" bottom="0.787401575" header="0.31496062" footer="0.31496062"/>
  <ignoredErrors>
    <ignoredError numberStoredAsText="1" sqref="A1:E41"/>
  </ignoredErrors>
</worksheet>
</file>

<file path=xl/worksheets/sheet19.xml><?xml version="1.0" encoding="utf-8"?>
<worksheet xmlns="http://schemas.openxmlformats.org/spreadsheetml/2006/main" xmlns:r="http://schemas.openxmlformats.org/officeDocument/2006/relationships">
  <dimension ref="A1:G29"/>
  <sheetViews>
    <sheetView workbookViewId="0" rightToLeft="0"/>
  </sheetViews>
  <sheetData>
    <row r="1">
      <c r="A1" t="str">
        <v>*Id</v>
      </c>
      <c r="B1" t="str">
        <v>IndexId</v>
      </c>
      <c r="C1" t="str">
        <v>#IndexName</v>
      </c>
      <c r="D1" t="str">
        <v>ColumnId</v>
      </c>
      <c r="E1" t="str">
        <v>#ColumnName</v>
      </c>
      <c r="F1" t="str">
        <v>Sequence</v>
      </c>
      <c r="G1" t="str">
        <v>IsDescending</v>
      </c>
    </row>
    <row r="2">
      <c r="A2">
        <f>ROW(A2)-1</f>
        <v>1</v>
      </c>
      <c r="B2">
        <f>ROW(B2)-1</f>
        <v>1</v>
      </c>
      <c r="C2" t="str" cm="1">
        <f t="array" ref="C2">GetValue("Idx","Name",B2)</f>
        <v>UNQ_Categories_Name</v>
      </c>
      <c r="D2">
        <v>2</v>
      </c>
      <c r="E2" t="str" cm="1">
        <f t="array" ref="E2">GetValue("Col","Name",D2)</f>
        <v>Name</v>
      </c>
      <c r="F2">
        <v>5</v>
      </c>
      <c r="G2" t="b">
        <v>0</v>
      </c>
    </row>
    <row r="3">
      <c r="A3">
        <f>ROW(A3)-1</f>
        <v>2</v>
      </c>
      <c r="B3">
        <f>ROW(B3)-1</f>
        <v>2</v>
      </c>
      <c r="C3" t="str" cm="1">
        <f t="array" ref="C3">GetValue("Idx","Name",B3)</f>
        <v>UNQ_Types_Name</v>
      </c>
      <c r="D3">
        <v>14</v>
      </c>
      <c r="E3" t="str" cm="1">
        <f t="array" ref="E3">GetValue("Col","Name",D3)</f>
        <v>Description</v>
      </c>
      <c r="F3">
        <v>5</v>
      </c>
      <c r="G3" t="b">
        <v>0</v>
      </c>
    </row>
    <row r="4">
      <c r="A4">
        <f>ROW(A4)-1</f>
        <v>3</v>
      </c>
      <c r="B4">
        <f>ROW(B4)-1</f>
        <v>3</v>
      </c>
      <c r="C4" t="str" cm="1">
        <f t="array" ref="C4">GetValue("Idx","Name",B4)</f>
        <v>UNQ_Masks_Name</v>
      </c>
      <c r="D4">
        <v>28</v>
      </c>
      <c r="E4" t="str" cm="1">
        <f t="array" ref="E4">GetValue("Col","Name",D4)</f>
        <v>Minimum</v>
      </c>
      <c r="F4">
        <v>5</v>
      </c>
      <c r="G4" t="b">
        <v>0</v>
      </c>
    </row>
    <row r="5">
      <c r="A5">
        <f>ROW(A5)-1</f>
        <v>4</v>
      </c>
      <c r="B5">
        <f>ROW(B5)-1</f>
        <v>4</v>
      </c>
      <c r="C5" t="str" cm="1">
        <f t="array" ref="C5">GetValue("Idx","Name",B5)</f>
        <v>UNQ_Domains_Name</v>
      </c>
      <c r="D5">
        <v>33</v>
      </c>
      <c r="E5" t="str" cm="1">
        <f t="array" ref="E5">GetValue("Col","Name",D5)</f>
        <v>AskAutoincrement</v>
      </c>
      <c r="F5">
        <v>5</v>
      </c>
      <c r="G5" t="b">
        <v>0</v>
      </c>
    </row>
    <row r="6">
      <c r="A6">
        <f>ROW(A6)-1</f>
        <v>5</v>
      </c>
      <c r="B6">
        <f>ROW(B6)-1</f>
        <v>5</v>
      </c>
      <c r="C6" t="str" cm="1">
        <f t="array" ref="C6">GetValue("Idx","Name",B6)</f>
        <v>UNQ_Systems_Name</v>
      </c>
      <c r="D6">
        <v>42</v>
      </c>
      <c r="E6" t="str" cm="1">
        <f t="array" ref="E6">GetValue("Col","Name",D6)</f>
        <v>Decimals</v>
      </c>
      <c r="F6">
        <v>5</v>
      </c>
      <c r="G6" t="b">
        <v>0</v>
      </c>
    </row>
    <row r="7">
      <c r="A7">
        <f>ROW(A7)-1</f>
        <v>6</v>
      </c>
      <c r="B7">
        <f>ROW(B7)-1</f>
        <v>6</v>
      </c>
      <c r="C7" t="str" cm="1">
        <f t="array" ref="C7">GetValue("Idx","Name",B7)</f>
        <v>UNQ_Menus_SystemId_Sequence</v>
      </c>
      <c r="D7">
        <v>48</v>
      </c>
      <c r="E7" t="str" cm="1">
        <f t="array" ref="E7">GetValue("Col","Name",D7)</f>
        <v>IsActive</v>
      </c>
      <c r="F7">
        <v>5</v>
      </c>
      <c r="G7" t="b">
        <v>0</v>
      </c>
    </row>
    <row r="8">
      <c r="A8">
        <f>ROW(A8)-1</f>
        <v>7</v>
      </c>
      <c r="B8">
        <f>ROW(B8)-1</f>
        <v>7</v>
      </c>
      <c r="C8" t="str" cm="1">
        <f t="array" ref="C8">GetValue("Idx","Name",B8)</f>
        <v>UNQ_Menus_SystemId_Caption</v>
      </c>
      <c r="D8">
        <v>49</v>
      </c>
      <c r="E8" t="str" cm="1">
        <f t="array" ref="E8">GetValue("Col","Name",D8)</f>
        <v>Id</v>
      </c>
      <c r="F8">
        <v>10</v>
      </c>
      <c r="G8" t="b">
        <v>0</v>
      </c>
    </row>
    <row r="9">
      <c r="A9">
        <f>ROW(A9)-1</f>
        <v>8</v>
      </c>
      <c r="B9">
        <f>ROW(B9)-1</f>
        <v>8</v>
      </c>
      <c r="C9" t="str" cm="1">
        <f t="array" ref="C9">GetValue("Idx","Name",B9)</f>
        <v>UNQ_Users_Name</v>
      </c>
      <c r="D9">
        <v>48</v>
      </c>
      <c r="E9" t="str" cm="1">
        <f t="array" ref="E9">GetValue("Col","Name",D9)</f>
        <v>IsActive</v>
      </c>
      <c r="F9">
        <v>5</v>
      </c>
      <c r="G9" t="b">
        <v>0</v>
      </c>
    </row>
    <row r="10">
      <c r="A10">
        <f>ROW(A10)-1</f>
        <v>9</v>
      </c>
      <c r="B10">
        <f>ROW(B10)-1</f>
        <v>9</v>
      </c>
      <c r="C10" t="str" cm="1">
        <f t="array" ref="C10">GetValue("Idx","Name",B10)</f>
        <v>UNQ_SystemsUsers_SystemId_UserId</v>
      </c>
      <c r="D10">
        <v>50</v>
      </c>
      <c r="E10" t="str" cm="1">
        <f t="array" ref="E10">GetValue("Col","Name",D10)</f>
        <v>OwnertId</v>
      </c>
      <c r="F10">
        <v>10</v>
      </c>
      <c r="G10" t="b">
        <v>0</v>
      </c>
    </row>
    <row r="11">
      <c r="A11">
        <f>ROW(A11)-1</f>
        <v>10</v>
      </c>
      <c r="B11">
        <f>ROW(B11)-1</f>
        <v>10</v>
      </c>
      <c r="C11" t="str" cm="1">
        <f t="array" ref="C11">GetValue("Idx","Name",B11)</f>
        <v>UNQ_SystemsUsers_Name</v>
      </c>
      <c r="D11">
        <v>55</v>
      </c>
      <c r="E11" t="str" cm="1">
        <f t="array" ref="E11">GetValue("Col","Name",D11)</f>
        <v>Default</v>
      </c>
      <c r="F11">
        <v>5</v>
      </c>
      <c r="G11" t="b">
        <v>0</v>
      </c>
    </row>
    <row r="12">
      <c r="A12">
        <f>ROW(A12)-1</f>
        <v>11</v>
      </c>
      <c r="B12">
        <f>ROW(B12)-1</f>
        <v>11</v>
      </c>
      <c r="C12" t="str" cm="1">
        <f t="array" ref="C12">GetValue("Idx","Name",B12)</f>
        <v>UNQ_Databases_Name</v>
      </c>
      <c r="D12">
        <v>61</v>
      </c>
      <c r="E12" t="str" cm="1">
        <f t="array" ref="E12">GetValue("Col","Name",D12)</f>
        <v>Id</v>
      </c>
      <c r="F12">
        <v>5</v>
      </c>
      <c r="G12" t="b">
        <v>0</v>
      </c>
    </row>
    <row r="13">
      <c r="A13">
        <f>ROW(A13)-1</f>
        <v>12</v>
      </c>
      <c r="B13">
        <f>ROW(B13)-1</f>
        <v>12</v>
      </c>
      <c r="C13" t="str" cm="1">
        <f t="array" ref="C13">GetValue("Idx","Name",B13)</f>
        <v>UNQ_Databases_Alias</v>
      </c>
      <c r="D13">
        <v>62</v>
      </c>
      <c r="E13" t="str" cm="1">
        <f t="array" ref="E13">GetValue("Col","Name",D13)</f>
        <v>OwnertId</v>
      </c>
      <c r="F13">
        <v>10</v>
      </c>
      <c r="G13" t="b">
        <v>0</v>
      </c>
    </row>
    <row r="14">
      <c r="A14">
        <f>ROW(A14)-1</f>
        <v>13</v>
      </c>
      <c r="B14">
        <f>ROW(B14)-1</f>
        <v>13</v>
      </c>
      <c r="C14" t="str" cm="1">
        <f t="array" ref="C14">GetValue("Idx","Name",B14)</f>
        <v>UNQ_SystemsDatabases_SystemId_DatabaseId</v>
      </c>
      <c r="D14">
        <v>63</v>
      </c>
      <c r="E14" t="str" cm="1">
        <f t="array" ref="E14">GetValue("Col","Name",D14)</f>
        <v>Name</v>
      </c>
      <c r="F14">
        <v>5</v>
      </c>
      <c r="G14" t="b">
        <v>0</v>
      </c>
    </row>
    <row r="15">
      <c r="A15">
        <f>ROW(A15)-1</f>
        <v>14</v>
      </c>
      <c r="B15">
        <f>ROW(B15)-1</f>
        <v>14</v>
      </c>
      <c r="C15" t="str" cm="1">
        <f t="array" ref="C15">GetValue("Idx","Name",B15)</f>
        <v>UNQ_SystemsDatabases_Name</v>
      </c>
      <c r="D15">
        <v>69</v>
      </c>
      <c r="E15" t="str" cm="1">
        <f t="array" ref="E15">GetValue("Col","Name",D15)</f>
        <v>CheckDigitModule</v>
      </c>
      <c r="F15">
        <v>5</v>
      </c>
      <c r="G15" t="b">
        <v>0</v>
      </c>
    </row>
    <row r="16">
      <c r="A16">
        <f>ROW(A16)-1</f>
        <v>15</v>
      </c>
      <c r="B16">
        <f>ROW(B16)-1</f>
        <v>15</v>
      </c>
      <c r="C16" t="str" cm="1">
        <f t="array" ref="C16">GetValue("Idx","Name",B16)</f>
        <v>UNQ_Tables_Name</v>
      </c>
      <c r="D16">
        <v>70</v>
      </c>
      <c r="E16" t="str" cm="1">
        <f t="array" ref="E16">GetValue("Col","Name",D16)</f>
        <v>CheckDigitFactors</v>
      </c>
      <c r="F16">
        <v>5</v>
      </c>
      <c r="G16" t="b">
        <v>0</v>
      </c>
    </row>
    <row r="17">
      <c r="A17">
        <f>ROW(A17)-1</f>
        <v>16</v>
      </c>
      <c r="B17">
        <f>ROW(B17)-1</f>
        <v>16</v>
      </c>
      <c r="C17" t="str" cm="1">
        <f t="array" ref="C17">GetValue("Idx","Name",B17)</f>
        <v>UNQ_Tables_Alias</v>
      </c>
      <c r="D17">
        <v>76</v>
      </c>
      <c r="E17" t="str" cm="1">
        <f t="array" ref="E17">GetValue("Col","Name",D17)</f>
        <v>Id</v>
      </c>
      <c r="F17">
        <v>5</v>
      </c>
      <c r="G17" t="b">
        <v>0</v>
      </c>
    </row>
    <row r="18">
      <c r="A18">
        <f>ROW(A18)-1</f>
        <v>17</v>
      </c>
      <c r="B18">
        <f>ROW(B18)-1</f>
        <v>17</v>
      </c>
      <c r="C18" t="str" cm="1">
        <f t="array" ref="C18">GetValue("Idx","Name",B18)</f>
        <v>UNQ_DatabasesTables_DatabaseId_TableId</v>
      </c>
      <c r="D18">
        <v>77</v>
      </c>
      <c r="E18" t="str" cm="1">
        <f t="array" ref="E18">GetValue("Col","Name",D18)</f>
        <v>OwnertId</v>
      </c>
      <c r="F18">
        <v>10</v>
      </c>
      <c r="G18" t="b">
        <v>0</v>
      </c>
    </row>
    <row r="19">
      <c r="A19">
        <f>ROW(A19)-1</f>
        <v>18</v>
      </c>
      <c r="B19">
        <f>ROW(B19)-1</f>
        <v>18</v>
      </c>
      <c r="C19" t="str" cm="1">
        <f t="array" ref="C19">GetValue("Idx","Name",B19)</f>
        <v>UNQ_DatabasesTables_Name</v>
      </c>
      <c r="D19">
        <v>78</v>
      </c>
      <c r="E19" t="str" cm="1">
        <f t="array" ref="E19">GetValue("Col","Name",D19)</f>
        <v>ParentEnvironmentId</v>
      </c>
      <c r="F19">
        <v>5</v>
      </c>
      <c r="G19" t="b">
        <v>0</v>
      </c>
    </row>
    <row r="20">
      <c r="A20">
        <f>ROW(A20)-1</f>
        <v>19</v>
      </c>
      <c r="B20">
        <f>ROW(B20)-1</f>
        <v>19</v>
      </c>
      <c r="C20" t="str" cm="1">
        <f t="array" ref="C20">GetValue("Idx","Name",B20)</f>
        <v>UNQ_Columns_TableId_Name</v>
      </c>
      <c r="D20">
        <v>80</v>
      </c>
      <c r="E20" t="str" cm="1">
        <f t="array" ref="E20">GetValue("Col","Name",D20)</f>
        <v>Description</v>
      </c>
      <c r="F20">
        <v>5</v>
      </c>
      <c r="G20" t="b">
        <v>0</v>
      </c>
    </row>
    <row r="21">
      <c r="A21">
        <f>ROW(A21)-1</f>
        <v>20</v>
      </c>
      <c r="B21">
        <f>ROW(B21)-1</f>
        <v>20</v>
      </c>
      <c r="C21" t="str" cm="1">
        <f t="array" ref="C21">GetValue("Idx","Name",B21)</f>
        <v>UNQ_Columns_TableId_Sequence</v>
      </c>
      <c r="D21">
        <v>81</v>
      </c>
      <c r="E21" t="str" cm="1">
        <f t="array" ref="E21">GetValue("Col","Name",D21)</f>
        <v>Id</v>
      </c>
      <c r="F21">
        <v>5</v>
      </c>
      <c r="G21" t="b">
        <v>0</v>
      </c>
    </row>
    <row r="22">
      <c r="A22">
        <f>ROW(A22)-1</f>
        <v>21</v>
      </c>
      <c r="B22">
        <f>ROW(B22)-1</f>
        <v>21</v>
      </c>
      <c r="C22" t="str" cm="1">
        <f t="array" ref="C22">GetValue("Idx","Name",B22)</f>
        <v>UNQ_Indexes_Name</v>
      </c>
      <c r="D22">
        <v>87</v>
      </c>
      <c r="E22" t="str" cm="1">
        <f t="array" ref="E22">GetValue("Col","Name",D22)</f>
        <v>IsActive</v>
      </c>
      <c r="F22">
        <v>5</v>
      </c>
      <c r="G22" t="b">
        <v>0</v>
      </c>
    </row>
    <row r="23">
      <c r="A23">
        <f>ROW(A23)-1</f>
        <v>22</v>
      </c>
      <c r="B23">
        <f>ROW(B23)-1</f>
        <v>22</v>
      </c>
      <c r="C23" t="str" cm="1">
        <f t="array" ref="C23">GetValue("Idx","Name",B23)</f>
        <v>UNQ_Indexkeys_IndexId_Sequence</v>
      </c>
      <c r="D23">
        <v>88</v>
      </c>
      <c r="E23" t="str" cm="1">
        <f t="array" ref="E23">GetValue("Col","Name",D23)</f>
        <v>Id</v>
      </c>
      <c r="F23">
        <v>10</v>
      </c>
      <c r="G23" t="b">
        <v>0</v>
      </c>
    </row>
    <row r="24">
      <c r="A24">
        <f>ROW(A24)-1</f>
        <v>23</v>
      </c>
      <c r="B24">
        <f>ROW(B24)-1</f>
        <v>23</v>
      </c>
      <c r="C24" t="str" cm="1">
        <f t="array" ref="C24">GetValue("Idx","Name",B24)</f>
        <v>UNQ_Indexkeys_IndexId_ColumnId</v>
      </c>
      <c r="D24">
        <v>89</v>
      </c>
      <c r="E24" t="str" cm="1">
        <f t="array" ref="E24">GetValue("Col","Name",D24)</f>
        <v>DatabaseId</v>
      </c>
      <c r="F24">
        <v>5</v>
      </c>
      <c r="G24" t="b">
        <v>0</v>
      </c>
    </row>
    <row r="25">
      <c r="A25">
        <f>ROW(A25)-1</f>
        <v>24</v>
      </c>
      <c r="B25">
        <f>ROW(B25)-1</f>
        <v>24</v>
      </c>
      <c r="C25" t="str" cm="1">
        <f t="array" ref="C25">GetValue("Idx","Name",B25)</f>
        <v>IDX_Sessions_SystemId_UserId_IsLogged</v>
      </c>
      <c r="D25">
        <v>91</v>
      </c>
      <c r="E25" t="str" cm="1">
        <f t="array" ref="E25">GetValue("Col","Name",D25)</f>
        <v>Name</v>
      </c>
      <c r="F25">
        <v>5</v>
      </c>
      <c r="G25" t="b">
        <v>0</v>
      </c>
    </row>
    <row r="26">
      <c r="A26">
        <f>ROW(A26)-1</f>
        <v>25</v>
      </c>
      <c r="B26">
        <f>ROW(B26)-1</f>
        <v>25</v>
      </c>
      <c r="C26" t="str" cm="1">
        <f t="array" ref="C26">GetValue("Idx","Name",B26)</f>
        <v>IDX_Transactions_SessionId_IsConfirmed</v>
      </c>
      <c r="D26">
        <v>95</v>
      </c>
      <c r="E26" t="e" cm="1">
        <f t="array" ref="E26">GetValue("Col","Name",D26)</f>
        <v>#VALUE!</v>
      </c>
      <c r="F26">
        <v>10</v>
      </c>
      <c r="G26" t="b">
        <v>0</v>
      </c>
    </row>
    <row r="27">
      <c r="A27">
        <f>ROW(A27)-1</f>
        <v>26</v>
      </c>
      <c r="B27">
        <f>ROW(B27)-1</f>
        <v>26</v>
      </c>
      <c r="C27" t="str" cm="1">
        <f t="array" ref="C27">GetValue("Idx","Name",B27)</f>
        <v>IDX_Operations_TransactionId_TableName_IsConfirmed</v>
      </c>
      <c r="D27">
        <v>91</v>
      </c>
      <c r="E27" t="str" cm="1">
        <f t="array" ref="E27">GetValue("Col","Name",D27)</f>
        <v>Name</v>
      </c>
      <c r="F27">
        <v>5</v>
      </c>
      <c r="G27" t="b">
        <v>0</v>
      </c>
    </row>
    <row r="28">
      <c r="A28">
        <f>ROW(A28)-1</f>
        <v>27</v>
      </c>
      <c r="B28">
        <f>ROW(B28)-1</f>
        <v>27</v>
      </c>
      <c r="C28" t="str" cm="1">
        <f t="array" ref="C28">GetValue("Idx","Name",B28)</f>
        <v>UNQ_Unicities_ColumnId1_ColumnId2</v>
      </c>
      <c r="D28">
        <v>92</v>
      </c>
      <c r="E28" t="str" cm="1">
        <f t="array" ref="E28">GetValue("Col","Name",D28)</f>
        <v>Description</v>
      </c>
      <c r="F28">
        <v>10</v>
      </c>
      <c r="G28" t="b">
        <v>0</v>
      </c>
    </row>
    <row r="29">
      <c r="A29">
        <f>ROW(A29)-1</f>
        <v>28</v>
      </c>
      <c r="B29">
        <f>ROW(B29)-1</f>
        <v>28</v>
      </c>
      <c r="C29" t="str" cm="1">
        <f t="array" ref="C29">GetValue("Idx","Name",B29)</f>
        <v>UNQ_Unicities_ColumnId2_ColumnId1</v>
      </c>
      <c r="D29">
        <v>114</v>
      </c>
      <c r="E29" t="str" cm="1">
        <f t="array" ref="E29">GetValue("Col","Name",D29)</f>
        <v>Name</v>
      </c>
      <c r="F29">
        <v>5</v>
      </c>
      <c r="G29" t="b">
        <v>0</v>
      </c>
    </row>
  </sheetData>
  <pageMargins left="0.511811024" right="0.511811024" top="0.787401575" bottom="0.787401575" header="0.31496062" footer="0.31496062"/>
  <ignoredErrors>
    <ignoredError numberStoredAsText="1" sqref="A1:G29"/>
  </ignoredErrors>
</worksheet>
</file>

<file path=xl/worksheets/sheet20.xml><?xml version="1.0" encoding="utf-8"?>
<worksheet xmlns="http://schemas.openxmlformats.org/spreadsheetml/2006/main" xmlns:r="http://schemas.openxmlformats.org/officeDocument/2006/relationships">
  <dimension ref="A1:E29"/>
  <sheetViews>
    <sheetView workbookViewId="0" rightToLeft="0"/>
  </sheetViews>
  <sheetData>
    <row r="1">
      <c r="A1" t="str">
        <v>*Id</v>
      </c>
      <c r="B1" t="str">
        <v>IndexId</v>
      </c>
      <c r="C1" t="str">
        <v>#IndexName</v>
      </c>
      <c r="D1" t="str">
        <v>ColumnId</v>
      </c>
      <c r="E1" t="str">
        <v>#ColumnName</v>
      </c>
    </row>
    <row r="2">
      <c r="A2">
        <f>ROW(A2)-1</f>
        <v>1</v>
      </c>
      <c r="B2">
        <v>1</v>
      </c>
      <c r="C2" t="str" cm="1">
        <f t="array" ref="C2">GetValue("Idx","Name",B2)</f>
        <v>UNQ_Categories_Name</v>
      </c>
      <c r="D2">
        <v>2</v>
      </c>
      <c r="E2" t="str" cm="1">
        <f t="array" ref="E2">GetValue("Col","Name",D2)</f>
        <v>Name</v>
      </c>
    </row>
    <row r="3">
      <c r="A3">
        <f>ROW(A3)-1</f>
        <v>2</v>
      </c>
      <c r="B3">
        <v>2</v>
      </c>
      <c r="C3" t="str" cm="1">
        <f t="array" ref="C3">GetValue("Idx","Name",B3)</f>
        <v>UNQ_Types_Name</v>
      </c>
      <c r="D3">
        <v>14</v>
      </c>
      <c r="E3" t="str" cm="1">
        <f t="array" ref="E3">GetValue("Col","Name",D3)</f>
        <v>Description</v>
      </c>
    </row>
    <row r="4">
      <c r="A4">
        <f>ROW(A4)-1</f>
        <v>3</v>
      </c>
      <c r="B4">
        <v>3</v>
      </c>
      <c r="C4" t="str" cm="1">
        <f t="array" ref="C4">GetValue("Idx","Name",B4)</f>
        <v>UNQ_Masks_Name</v>
      </c>
      <c r="D4">
        <v>28</v>
      </c>
      <c r="E4" t="str" cm="1">
        <f t="array" ref="E4">GetValue("Col","Name",D4)</f>
        <v>Minimum</v>
      </c>
    </row>
    <row r="5">
      <c r="A5">
        <f>ROW(A5)-1</f>
        <v>4</v>
      </c>
      <c r="B5">
        <v>4</v>
      </c>
      <c r="C5" t="str" cm="1">
        <f t="array" ref="C5">GetValue("Idx","Name",B5)</f>
        <v>UNQ_Domains_Name</v>
      </c>
      <c r="D5">
        <v>33</v>
      </c>
      <c r="E5" t="str" cm="1">
        <f t="array" ref="E5">GetValue("Col","Name",D5)</f>
        <v>AskAutoincrement</v>
      </c>
    </row>
    <row r="6">
      <c r="A6">
        <f>ROW(A6)-1</f>
        <v>5</v>
      </c>
      <c r="B6">
        <v>5</v>
      </c>
      <c r="C6" t="str" cm="1">
        <f t="array" ref="C6">GetValue("Idx","Name",B6)</f>
        <v>UNQ_Systems_Name</v>
      </c>
      <c r="D6">
        <v>42</v>
      </c>
      <c r="E6" t="str" cm="1">
        <f t="array" ref="E6">GetValue("Col","Name",D6)</f>
        <v>Decimals</v>
      </c>
    </row>
    <row r="7">
      <c r="A7">
        <f>ROW(A7)-1</f>
        <v>6</v>
      </c>
      <c r="B7">
        <v>6</v>
      </c>
      <c r="C7" t="str" cm="1">
        <f t="array" ref="C7">GetValue("Idx","Name",B7)</f>
        <v>UNQ_Menus_SystemId_Sequence</v>
      </c>
      <c r="D7">
        <v>48</v>
      </c>
      <c r="E7" t="str" cm="1">
        <f t="array" ref="E7">GetValue("Col","Name",D7)</f>
        <v>IsActive</v>
      </c>
    </row>
    <row r="8">
      <c r="A8">
        <f>ROW(A8)-1</f>
        <v>7</v>
      </c>
      <c r="B8">
        <v>6</v>
      </c>
      <c r="C8" t="str" cm="1">
        <f t="array" ref="C8">GetValue("Idx","Name",B8)</f>
        <v>UNQ_Menus_SystemId_Sequence</v>
      </c>
      <c r="D8">
        <v>49</v>
      </c>
      <c r="E8" t="str" cm="1">
        <f t="array" ref="E8">GetValue("Col","Name",D8)</f>
        <v>Id</v>
      </c>
    </row>
    <row r="9">
      <c r="A9">
        <f>ROW(A9)-1</f>
        <v>8</v>
      </c>
      <c r="B9">
        <v>7</v>
      </c>
      <c r="C9" t="str" cm="1">
        <f t="array" ref="C9">GetValue("Idx","Name",B9)</f>
        <v>UNQ_Menus_SystemId_Caption</v>
      </c>
      <c r="D9">
        <v>48</v>
      </c>
      <c r="E9" t="str" cm="1">
        <f t="array" ref="E9">GetValue("Col","Name",D9)</f>
        <v>IsActive</v>
      </c>
    </row>
    <row r="10">
      <c r="A10">
        <f>ROW(A10)-1</f>
        <v>9</v>
      </c>
      <c r="B10">
        <v>7</v>
      </c>
      <c r="C10" t="str" cm="1">
        <f t="array" ref="C10">GetValue("Idx","Name",B10)</f>
        <v>UNQ_Menus_SystemId_Caption</v>
      </c>
      <c r="D10">
        <v>50</v>
      </c>
      <c r="E10" t="str" cm="1">
        <f t="array" ref="E10">GetValue("Col","Name",D10)</f>
        <v>OwnertId</v>
      </c>
    </row>
    <row r="11">
      <c r="A11">
        <f>ROW(A11)-1</f>
        <v>10</v>
      </c>
      <c r="B11">
        <v>8</v>
      </c>
      <c r="C11" t="str" cm="1">
        <f t="array" ref="C11">GetValue("Idx","Name",B11)</f>
        <v>UNQ_Users_Name</v>
      </c>
      <c r="D11">
        <v>55</v>
      </c>
      <c r="E11" t="str" cm="1">
        <f t="array" ref="E11">GetValue("Col","Name",D11)</f>
        <v>Default</v>
      </c>
    </row>
    <row r="12">
      <c r="A12">
        <f>ROW(A12)-1</f>
        <v>11</v>
      </c>
      <c r="B12">
        <v>9</v>
      </c>
      <c r="C12" t="str" cm="1">
        <f t="array" ref="C12">GetValue("Idx","Name",B12)</f>
        <v>UNQ_SystemsUsers_SystemId_UserId</v>
      </c>
      <c r="D12">
        <v>61</v>
      </c>
      <c r="E12" t="str" cm="1">
        <f t="array" ref="E12">GetValue("Col","Name",D12)</f>
        <v>Id</v>
      </c>
    </row>
    <row r="13">
      <c r="A13">
        <f>ROW(A13)-1</f>
        <v>12</v>
      </c>
      <c r="B13">
        <v>9</v>
      </c>
      <c r="C13" t="str" cm="1">
        <f t="array" ref="C13">GetValue("Idx","Name",B13)</f>
        <v>UNQ_SystemsUsers_SystemId_UserId</v>
      </c>
      <c r="D13">
        <v>62</v>
      </c>
      <c r="E13" t="str" cm="1">
        <f t="array" ref="E13">GetValue("Col","Name",D13)</f>
        <v>OwnertId</v>
      </c>
    </row>
    <row r="14">
      <c r="A14">
        <f>ROW(A14)-1</f>
        <v>13</v>
      </c>
      <c r="B14">
        <v>10</v>
      </c>
      <c r="C14" t="str" cm="1">
        <f t="array" ref="C14">GetValue("Idx","Name",B14)</f>
        <v>UNQ_SystemsUsers_Name</v>
      </c>
      <c r="D14">
        <v>63</v>
      </c>
      <c r="E14" t="str" cm="1">
        <f t="array" ref="E14">GetValue("Col","Name",D14)</f>
        <v>Name</v>
      </c>
    </row>
    <row r="15">
      <c r="A15">
        <f>ROW(A15)-1</f>
        <v>14</v>
      </c>
      <c r="B15">
        <v>11</v>
      </c>
      <c r="C15" t="str" cm="1">
        <f t="array" ref="C15">GetValue("Idx","Name",B15)</f>
        <v>UNQ_Databases_Name</v>
      </c>
      <c r="D15">
        <v>69</v>
      </c>
      <c r="E15" t="str" cm="1">
        <f t="array" ref="E15">GetValue("Col","Name",D15)</f>
        <v>CheckDigitModule</v>
      </c>
    </row>
    <row r="16">
      <c r="A16">
        <f>ROW(A16)-1</f>
        <v>15</v>
      </c>
      <c r="B16">
        <v>12</v>
      </c>
      <c r="C16" t="str" cm="1">
        <f t="array" ref="C16">GetValue("Idx","Name",B16)</f>
        <v>UNQ_Databases_Alias</v>
      </c>
      <c r="D16">
        <v>70</v>
      </c>
      <c r="E16" t="str" cm="1">
        <f t="array" ref="E16">GetValue("Col","Name",D16)</f>
        <v>CheckDigitFactors</v>
      </c>
    </row>
    <row r="17">
      <c r="A17">
        <f>ROW(A17)-1</f>
        <v>16</v>
      </c>
      <c r="B17">
        <v>13</v>
      </c>
      <c r="C17" t="str" cm="1">
        <f t="array" ref="C17">GetValue("Idx","Name",B17)</f>
        <v>UNQ_SystemsDatabases_SystemId_DatabaseId</v>
      </c>
      <c r="D17">
        <v>76</v>
      </c>
      <c r="E17" t="str" cm="1">
        <f t="array" ref="E17">GetValue("Col","Name",D17)</f>
        <v>Id</v>
      </c>
    </row>
    <row r="18">
      <c r="A18">
        <f>ROW(A18)-1</f>
        <v>17</v>
      </c>
      <c r="B18">
        <v>13</v>
      </c>
      <c r="C18" t="str" cm="1">
        <f t="array" ref="C18">GetValue("Idx","Name",B18)</f>
        <v>UNQ_SystemsDatabases_SystemId_DatabaseId</v>
      </c>
      <c r="D18">
        <v>77</v>
      </c>
      <c r="E18" t="str" cm="1">
        <f t="array" ref="E18">GetValue("Col","Name",D18)</f>
        <v>OwnertId</v>
      </c>
    </row>
    <row r="19">
      <c r="A19">
        <f>ROW(A19)-1</f>
        <v>18</v>
      </c>
      <c r="B19">
        <v>14</v>
      </c>
      <c r="C19" t="str" cm="1">
        <f t="array" ref="C19">GetValue("Idx","Name",B19)</f>
        <v>UNQ_SystemsDatabases_Name</v>
      </c>
      <c r="D19">
        <v>78</v>
      </c>
      <c r="E19" t="str" cm="1">
        <f t="array" ref="E19">GetValue("Col","Name",D19)</f>
        <v>ParentEnvironmentId</v>
      </c>
    </row>
    <row r="20">
      <c r="A20">
        <f>ROW(A20)-1</f>
        <v>19</v>
      </c>
      <c r="B20">
        <v>15</v>
      </c>
      <c r="C20" t="str" cm="1">
        <f t="array" ref="C20">GetValue("Idx","Name",B20)</f>
        <v>UNQ_Tables_Name</v>
      </c>
      <c r="D20">
        <v>80</v>
      </c>
      <c r="E20" t="str" cm="1">
        <f t="array" ref="E20">GetValue("Col","Name",D20)</f>
        <v>Description</v>
      </c>
    </row>
    <row r="21">
      <c r="A21">
        <f>ROW(A21)-1</f>
        <v>20</v>
      </c>
      <c r="B21">
        <v>16</v>
      </c>
      <c r="C21" t="str" cm="1">
        <f t="array" ref="C21">GetValue("Idx","Name",B21)</f>
        <v>UNQ_Tables_Alias</v>
      </c>
      <c r="D21">
        <v>81</v>
      </c>
      <c r="E21" t="str" cm="1">
        <f t="array" ref="E21">GetValue("Col","Name",D21)</f>
        <v>Id</v>
      </c>
    </row>
    <row r="22">
      <c r="A22">
        <f>ROW(A22)-1</f>
        <v>21</v>
      </c>
      <c r="B22">
        <v>17</v>
      </c>
      <c r="C22" t="str" cm="1">
        <f t="array" ref="C22">GetValue("Idx","Name",B22)</f>
        <v>UNQ_DatabasesTables_DatabaseId_TableId</v>
      </c>
      <c r="D22">
        <v>87</v>
      </c>
      <c r="E22" t="str" cm="1">
        <f t="array" ref="E22">GetValue("Col","Name",D22)</f>
        <v>IsActive</v>
      </c>
    </row>
    <row r="23">
      <c r="A23">
        <f>ROW(A23)-1</f>
        <v>22</v>
      </c>
      <c r="B23">
        <v>17</v>
      </c>
      <c r="C23" t="str" cm="1">
        <f t="array" ref="C23">GetValue("Idx","Name",B23)</f>
        <v>UNQ_DatabasesTables_DatabaseId_TableId</v>
      </c>
      <c r="D23">
        <v>88</v>
      </c>
      <c r="E23" t="str" cm="1">
        <f t="array" ref="E23">GetValue("Col","Name",D23)</f>
        <v>Id</v>
      </c>
    </row>
    <row r="24">
      <c r="A24">
        <f>ROW(A24)-1</f>
        <v>23</v>
      </c>
      <c r="B24">
        <v>18</v>
      </c>
      <c r="C24" t="str" cm="1">
        <f t="array" ref="C24">GetValue("Idx","Name",B24)</f>
        <v>UNQ_DatabasesTables_Name</v>
      </c>
      <c r="D24">
        <v>89</v>
      </c>
      <c r="E24" t="str" cm="1">
        <f t="array" ref="E24">GetValue("Col","Name",D24)</f>
        <v>DatabaseId</v>
      </c>
    </row>
    <row r="25">
      <c r="A25">
        <f>ROW(A25)-1</f>
        <v>24</v>
      </c>
      <c r="B25">
        <v>19</v>
      </c>
      <c r="C25" t="str" cm="1">
        <f t="array" ref="C25">GetValue("Idx","Name",B25)</f>
        <v>UNQ_Columns_TableId_Name</v>
      </c>
      <c r="D25">
        <v>91</v>
      </c>
      <c r="E25" t="str" cm="1">
        <f t="array" ref="E25">GetValue("Col","Name",D25)</f>
        <v>Name</v>
      </c>
    </row>
    <row r="26">
      <c r="A26">
        <f>ROW(A26)-1</f>
        <v>25</v>
      </c>
      <c r="B26">
        <v>19</v>
      </c>
      <c r="C26" t="str" cm="1">
        <f t="array" ref="C26">GetValue("Idx","Name",B26)</f>
        <v>UNQ_Columns_TableId_Name</v>
      </c>
      <c r="D26">
        <v>95</v>
      </c>
      <c r="E26" t="e" cm="1">
        <f t="array" ref="E26">GetValue("Col","Name",D26)</f>
        <v>#VALUE!</v>
      </c>
    </row>
    <row r="27">
      <c r="A27">
        <f>ROW(A27)-1</f>
        <v>26</v>
      </c>
      <c r="B27">
        <v>20</v>
      </c>
      <c r="C27" t="str" cm="1">
        <f t="array" ref="C27">GetValue("Idx","Name",B27)</f>
        <v>UNQ_Columns_TableId_Sequence</v>
      </c>
      <c r="D27">
        <v>91</v>
      </c>
      <c r="E27" t="str" cm="1">
        <f t="array" ref="E27">GetValue("Col","Name",D27)</f>
        <v>Name</v>
      </c>
    </row>
    <row r="28">
      <c r="A28">
        <f>ROW(A28)-1</f>
        <v>27</v>
      </c>
      <c r="B28">
        <v>20</v>
      </c>
      <c r="C28" t="str" cm="1">
        <f t="array" ref="C28">GetValue("Idx","Name",B28)</f>
        <v>UNQ_Columns_TableId_Sequence</v>
      </c>
      <c r="D28">
        <v>92</v>
      </c>
      <c r="E28" t="str" cm="1">
        <f t="array" ref="E28">GetValue("Col","Name",D28)</f>
        <v>Description</v>
      </c>
    </row>
    <row r="29">
      <c r="A29">
        <f>ROW(A29)-1</f>
        <v>28</v>
      </c>
      <c r="B29">
        <v>21</v>
      </c>
      <c r="C29" t="str" cm="1">
        <f t="array" ref="C29">GetValue("Idx","Name",B29)</f>
        <v>UNQ_Indexes_Name</v>
      </c>
      <c r="D29">
        <v>114</v>
      </c>
      <c r="E29" t="str" cm="1">
        <f t="array" ref="E29">GetValue("Col","Name",D29)</f>
        <v>Name</v>
      </c>
    </row>
  </sheetData>
  <pageMargins left="0.511811024" right="0.511811024" top="0.787401575" bottom="0.787401575" header="0.31496062" footer="0.31496062"/>
  <ignoredErrors>
    <ignoredError numberStoredAsText="1" sqref="A1:E29"/>
  </ignoredErrors>
</worksheet>
</file>

<file path=xl/worksheets/sheet21.xml><?xml version="1.0" encoding="utf-8"?>
<worksheet xmlns="http://schemas.openxmlformats.org/spreadsheetml/2006/main" xmlns:r="http://schemas.openxmlformats.org/officeDocument/2006/relationships">
  <dimension ref="A1:H2"/>
  <sheetViews>
    <sheetView workbookViewId="0" rightToLeft="0"/>
  </sheetViews>
  <sheetData>
    <row r="1">
      <c r="A1" t="str">
        <v>*Id</v>
      </c>
      <c r="B1" t="str">
        <v>LeftColumnId</v>
      </c>
      <c r="C1" t="str">
        <v>#LeftTableAlias</v>
      </c>
      <c r="D1" t="str">
        <v>#LeftColumnName</v>
      </c>
      <c r="E1" t="str">
        <v>RightColumnId</v>
      </c>
      <c r="F1" t="str">
        <v>#RightTableAlias</v>
      </c>
      <c r="G1" t="str">
        <v>#RightColumnName</v>
      </c>
      <c r="H1" t="str">
        <v>IsBirectional</v>
      </c>
    </row>
    <row r="2">
      <c r="A2">
        <f>ROW(A2)-1</f>
        <v>1</v>
      </c>
      <c r="B2">
        <v>95</v>
      </c>
      <c r="C2" t="str" cm="1">
        <f t="array" ref="C2">GetValue("Col","#TableAlias",B2)</f>
        <v>Sys</v>
      </c>
      <c r="D2" t="e" cm="1">
        <f t="array" ref="D2">GetValue("Col","Name",B2)</f>
        <v>#VALUE!</v>
      </c>
      <c r="E2">
        <v>96</v>
      </c>
      <c r="F2" t="str" cm="1">
        <f t="array" ref="F2">GetValue("Col","#TableAlias",E2)</f>
        <v>Mnu</v>
      </c>
      <c r="G2" t="str" cm="1">
        <f t="array" ref="G2">GetValue("Col","Name",E2)</f>
        <v>Id</v>
      </c>
      <c r="H2" t="b">
        <v>1</v>
      </c>
    </row>
  </sheetData>
  <pageMargins left="0.511811024" right="0.511811024" top="0.787401575" bottom="0.787401575" header="0.31496062" footer="0.31496062"/>
  <ignoredErrors>
    <ignoredError numberStoredAsText="1" sqref="A1:H2"/>
  </ignoredErrors>
</worksheet>
</file>

<file path=xl/worksheets/sheet22.xml><?xml version="1.0" encoding="utf-8"?>
<worksheet xmlns="http://schemas.openxmlformats.org/spreadsheetml/2006/main" xmlns:r="http://schemas.openxmlformats.org/officeDocument/2006/relationships">
  <dimension ref="A1:I2"/>
  <sheetViews>
    <sheetView workbookViewId="0" rightToLeft="0"/>
  </sheetViews>
  <sheetData>
    <row r="1">
      <c r="A1" t="str">
        <v>*Id</v>
      </c>
      <c r="B1" t="str">
        <v>TableId</v>
      </c>
      <c r="C1" t="str">
        <v>#TableName</v>
      </c>
      <c r="D1" t="str">
        <v>Name</v>
      </c>
    </row>
    <row r="2">
      <c r="A2">
        <f>ROW(A2)-1</f>
        <v>1</v>
      </c>
      <c r="B2">
        <v>1</v>
      </c>
      <c r="C2" t="str" cm="1">
        <f t="array" ref="C2">GetValue("Tbl","Name",B2)</f>
        <v>Categories</v>
      </c>
      <c r="D2" t="str">
        <v>Expression 0001</v>
      </c>
    </row>
  </sheetData>
  <pageMargins left="0.511811024" right="0.511811024" top="0.787401575" bottom="0.787401575" header="0.31496062" footer="0.31496062"/>
  <ignoredErrors>
    <ignoredError numberStoredAsText="1" sqref="A1:I2"/>
  </ignoredErrors>
</worksheet>
</file>

<file path=xl/worksheets/sheet23.xml><?xml version="1.0" encoding="utf-8"?>
<worksheet xmlns="http://schemas.openxmlformats.org/spreadsheetml/2006/main" xmlns:r="http://schemas.openxmlformats.org/officeDocument/2006/relationships">
  <dimension ref="A1:N4"/>
  <sheetViews>
    <sheetView workbookViewId="0" rightToLeft="0"/>
  </sheetViews>
  <sheetData>
    <row r="1">
      <c r="A1" t="str">
        <v>*Id</v>
      </c>
      <c r="B1" t="str">
        <v>ExpressionId</v>
      </c>
      <c r="C1" t="str">
        <v>#ExpressionName</v>
      </c>
      <c r="D1" t="str">
        <v>Sequence</v>
      </c>
      <c r="E1" t="str">
        <v>Connector</v>
      </c>
      <c r="F1" t="str">
        <v>LeftParenthesis</v>
      </c>
      <c r="G1" t="str">
        <v>LeftColumnId</v>
      </c>
      <c r="H1" t="str">
        <v>#LeftColumnName</v>
      </c>
      <c r="I1" t="str">
        <v>ComparatorId</v>
      </c>
      <c r="J1" t="str">
        <v>#ComparatorSymbol</v>
      </c>
      <c r="K1" t="str">
        <v>RightColumnId</v>
      </c>
      <c r="L1" t="str">
        <v>#RightColumnName</v>
      </c>
      <c r="M1" t="str">
        <v>RightValues</v>
      </c>
      <c r="N1" t="str">
        <v>RightParenthesis</v>
      </c>
    </row>
    <row r="2">
      <c r="A2">
        <f>ROW(A2)-1</f>
        <v>1</v>
      </c>
      <c r="B2">
        <v>1</v>
      </c>
      <c r="C2" t="str" cm="1">
        <f t="array" ref="C2">GetValue("Exp","Name",B2)</f>
        <v>Expression 0001</v>
      </c>
      <c r="D2">
        <v>5</v>
      </c>
      <c r="F2" t="str">
        <v>((</v>
      </c>
      <c r="G2">
        <v>1</v>
      </c>
      <c r="H2" t="str" cm="1">
        <f t="array" ref="H2">GetValue("Col","Name",G2)</f>
        <v>Id</v>
      </c>
      <c r="I2">
        <v>6</v>
      </c>
      <c r="J2" t="str" cm="1">
        <f t="array" ref="J2">GetValue("Cmp","Symbol",I2)</f>
        <v>&gt;</v>
      </c>
      <c r="K2">
        <v>1</v>
      </c>
      <c r="L2" t="str" cm="1">
        <f t="array" ref="L2">GetValue("Col","Name",K2)</f>
        <v>Id</v>
      </c>
    </row>
    <row r="3">
      <c r="A3">
        <f>ROW(A3)-1</f>
        <v>2</v>
      </c>
      <c r="B3">
        <v>1</v>
      </c>
      <c r="C3" t="str" cm="1">
        <f t="array" ref="C3">GetValue("Exp","Name",B3)</f>
        <v>Expression 0001</v>
      </c>
      <c r="D3">
        <v>10</v>
      </c>
      <c r="E3" t="str">
        <v>AND</v>
      </c>
      <c r="G3">
        <v>1</v>
      </c>
      <c r="H3" t="str" cm="1">
        <f t="array" ref="H3">GetValue("Col","Name",G3)</f>
        <v>Id</v>
      </c>
      <c r="I3">
        <v>1</v>
      </c>
      <c r="J3" t="str" cm="1">
        <f t="array" ref="J3">GetValue("Cmp","Symbol",I3)</f>
        <v>&lt;</v>
      </c>
      <c r="L3" t="str" cm="1">
        <f t="array" ref="L3">GetValue("Col","Name",K3)</f>
        <v/>
      </c>
      <c r="M3">
        <v>20</v>
      </c>
      <c r="N3" t="str">
        <v>)</v>
      </c>
    </row>
    <row r="4">
      <c r="A4">
        <f>ROW(A4)-1</f>
        <v>3</v>
      </c>
      <c r="B4">
        <v>1</v>
      </c>
      <c r="C4" t="str" cm="1">
        <f t="array" ref="C4">GetValue("Exp","Name",B4)</f>
        <v>Expression 0001</v>
      </c>
      <c r="D4">
        <v>15</v>
      </c>
      <c r="E4" t="str">
        <v>OR</v>
      </c>
      <c r="F4" t="str">
        <v>(</v>
      </c>
      <c r="G4">
        <v>1</v>
      </c>
      <c r="H4" t="str" cm="1">
        <f t="array" ref="H4">GetValue("Col","Name",G4)</f>
        <v>Id</v>
      </c>
      <c r="I4">
        <v>7</v>
      </c>
      <c r="J4" t="str" cm="1">
        <f t="array" ref="J4">GetValue("Cmp","Symbol",I4)</f>
        <v>∈</v>
      </c>
      <c r="L4" t="str" cm="1">
        <f t="array" ref="L4">GetValue("Col","Name",K4)</f>
        <v/>
      </c>
      <c r="M4" t="str">
        <v>5;10</v>
      </c>
      <c r="N4" t="str">
        <v>))</v>
      </c>
    </row>
  </sheetData>
  <pageMargins left="0.511811024" right="0.511811024" top="0.787401575" bottom="0.787401575" header="0.31496062" footer="0.31496062"/>
  <ignoredErrors>
    <ignoredError numberStoredAsText="1" sqref="A1:N4"/>
  </ignoredErrors>
</worksheet>
</file>

<file path=xl/worksheets/sheet24.xml><?xml version="1.0" encoding="utf-8"?>
<worksheet xmlns="http://schemas.openxmlformats.org/spreadsheetml/2006/main" xmlns:r="http://schemas.openxmlformats.org/officeDocument/2006/relationships">
  <dimension ref="A1:M27"/>
  <sheetViews>
    <sheetView workbookViewId="0" rightToLeft="0"/>
  </sheetViews>
  <sheetData>
    <row r="1">
      <c r="A1" t="str">
        <v>*Id</v>
      </c>
      <c r="B1" t="str">
        <v>FkTableId</v>
      </c>
      <c r="C1" t="str">
        <v>#FkTableName</v>
      </c>
      <c r="D1" t="str">
        <v>PkTableId</v>
      </c>
      <c r="E1" t="str">
        <v>#PkTableName</v>
      </c>
      <c r="F1" t="str">
        <v>Name</v>
      </c>
      <c r="G1" t="str">
        <v>IsParentChildren</v>
      </c>
    </row>
    <row r="2">
      <c r="A2">
        <f>ROW(A2)-1</f>
        <v>1</v>
      </c>
      <c r="B2">
        <v>3</v>
      </c>
      <c r="C2" t="str" cm="1">
        <f t="array" ref="C2">GetValue("Tbl","Name",B2)</f>
        <v>Rules</v>
      </c>
      <c r="D2">
        <v>1</v>
      </c>
      <c r="E2" t="str" cm="1">
        <f t="array" ref="E2">GetValue("Tbl","Name",D2)</f>
        <v>Categories</v>
      </c>
      <c r="F2" t="str">
        <f>CONCAT(C2," x ",E2)</f>
        <v>Rules x Categories</v>
      </c>
      <c r="G2" t="b">
        <v>0</v>
      </c>
    </row>
    <row r="3">
      <c r="A3">
        <f>ROW(A3)-1</f>
        <v>2</v>
      </c>
      <c r="B3">
        <v>3</v>
      </c>
      <c r="C3" t="str" cm="1">
        <f t="array" ref="C3">GetValue("Tbl","Name",B3)</f>
        <v>Rules</v>
      </c>
      <c r="D3">
        <v>2</v>
      </c>
      <c r="E3" t="str" cm="1">
        <f t="array" ref="E3">GetValue("Tbl","Name",D3)</f>
        <v>Comparators</v>
      </c>
      <c r="F3" t="str">
        <f>CONCAT(C3," x ",E3)</f>
        <v>Rules x Comparators</v>
      </c>
      <c r="G3" t="b">
        <v>0</v>
      </c>
    </row>
    <row r="4">
      <c r="A4">
        <f>ROW(A4)-1</f>
        <v>3</v>
      </c>
      <c r="B4">
        <v>5</v>
      </c>
      <c r="C4" t="str" cm="1">
        <f t="array" ref="C4">GetValue("Tbl","Name",B4)</f>
        <v>Types</v>
      </c>
      <c r="D4">
        <v>1</v>
      </c>
      <c r="E4" t="str" cm="1">
        <f t="array" ref="E4">GetValue("Tbl","Name",D4)</f>
        <v>Categories</v>
      </c>
      <c r="F4" t="str">
        <f>CONCAT(C4," x ",E4)</f>
        <v>Types x Categories</v>
      </c>
      <c r="G4" t="b">
        <v>0</v>
      </c>
    </row>
    <row r="5">
      <c r="A5">
        <f>ROW(A5)-1</f>
        <v>4</v>
      </c>
      <c r="B5">
        <v>6</v>
      </c>
      <c r="C5" t="str" cm="1">
        <f t="array" ref="C5">GetValue("Tbl","Name",B5)</f>
        <v>Mappings</v>
      </c>
      <c r="D5">
        <v>4</v>
      </c>
      <c r="E5" t="str" cm="1">
        <f t="array" ref="E5">GetValue("Tbl","Name",D5)</f>
        <v>Engines</v>
      </c>
      <c r="F5" t="str">
        <f>CONCAT(C5," x ",E5)</f>
        <v>Mappings x Engines</v>
      </c>
      <c r="G5" t="b">
        <v>0</v>
      </c>
    </row>
    <row r="6">
      <c r="A6">
        <f>ROW(A6)-1</f>
        <v>5</v>
      </c>
      <c r="B6">
        <v>6</v>
      </c>
      <c r="C6" t="str" cm="1">
        <f t="array" ref="C6">GetValue("Tbl","Name",B6)</f>
        <v>Mappings</v>
      </c>
      <c r="D6">
        <v>5</v>
      </c>
      <c r="E6" t="str" cm="1">
        <f t="array" ref="E6">GetValue("Tbl","Name",D6)</f>
        <v>Types</v>
      </c>
      <c r="F6" t="str">
        <f>CONCAT(C6," x ",E6)</f>
        <v>Mappings x Types</v>
      </c>
      <c r="G6" t="b">
        <v>1</v>
      </c>
    </row>
    <row r="7">
      <c r="A7">
        <f>ROW(A7)-1</f>
        <v>6</v>
      </c>
      <c r="B7">
        <v>7</v>
      </c>
      <c r="C7" t="str" cm="1">
        <f t="array" ref="C7">GetValue("Tbl","Name",B7)</f>
        <v>Owners</v>
      </c>
      <c r="D7">
        <v>4</v>
      </c>
      <c r="E7" t="str" cm="1">
        <f t="array" ref="E7">GetValue("Tbl","Name",D7)</f>
        <v>Engines</v>
      </c>
      <c r="F7" t="str">
        <f>CONCAT(C7," x ",E7)</f>
        <v>Owners x Engines</v>
      </c>
      <c r="G7" t="b">
        <v>1</v>
      </c>
    </row>
    <row r="8">
      <c r="A8">
        <f>ROW(A8)-1</f>
        <v>7</v>
      </c>
      <c r="B8">
        <v>8</v>
      </c>
      <c r="C8" t="str" cm="1">
        <f t="array" ref="C8">GetValue("Tbl","Name",B8)</f>
        <v>Domains</v>
      </c>
      <c r="D8">
        <v>7</v>
      </c>
      <c r="E8" t="str" cm="1">
        <f t="array" ref="E8">GetValue("Tbl","Name",D8)</f>
        <v>Owners</v>
      </c>
      <c r="F8" t="str">
        <f>CONCAT(C8," x ",E8)</f>
        <v>Domains x Owners</v>
      </c>
      <c r="G8" t="b">
        <v>0</v>
      </c>
    </row>
    <row r="9">
      <c r="A9">
        <f>ROW(A9)-1</f>
        <v>8</v>
      </c>
      <c r="B9">
        <v>8</v>
      </c>
      <c r="C9" t="str" cm="1">
        <f t="array" ref="C9">GetValue("Tbl","Name",B9)</f>
        <v>Domains</v>
      </c>
      <c r="D9">
        <v>5</v>
      </c>
      <c r="E9" t="str" cm="1">
        <f t="array" ref="E9">GetValue("Tbl","Name",D9)</f>
        <v>Types</v>
      </c>
      <c r="F9" t="str">
        <f>CONCAT(C9," x ",E9)</f>
        <v>Domains x Types</v>
      </c>
      <c r="G9" t="b">
        <v>0</v>
      </c>
    </row>
    <row r="10">
      <c r="A10">
        <f>ROW(A10)-1</f>
        <v>9</v>
      </c>
      <c r="B10">
        <v>9</v>
      </c>
      <c r="C10" t="str" cm="1">
        <f t="array" ref="C10">GetValue("Tbl","Name",B10)</f>
        <v>Masks</v>
      </c>
      <c r="D10">
        <v>7</v>
      </c>
      <c r="E10" t="str" cm="1">
        <f t="array" ref="E10">GetValue("Tbl","Name",D10)</f>
        <v>Owners</v>
      </c>
      <c r="F10" t="str">
        <f>CONCAT(C10," x ",E10)</f>
        <v>Masks x Owners</v>
      </c>
      <c r="G10" t="b">
        <v>1</v>
      </c>
    </row>
    <row r="11">
      <c r="A11">
        <f>ROW(A11)-1</f>
        <v>10</v>
      </c>
      <c r="B11">
        <v>10</v>
      </c>
      <c r="C11" t="str" cm="1">
        <f t="array" ref="C11">GetValue("Tbl","Name",B11)</f>
        <v>Maskings</v>
      </c>
      <c r="D11">
        <v>8</v>
      </c>
      <c r="E11" t="str" cm="1">
        <f t="array" ref="E11">GetValue("Tbl","Name",D11)</f>
        <v>Domains</v>
      </c>
      <c r="F11" t="str">
        <f>CONCAT(C11," x ",E11)</f>
        <v>Maskings x Domains</v>
      </c>
      <c r="G11" t="b">
        <v>0</v>
      </c>
    </row>
    <row r="12">
      <c r="A12">
        <f>ROW(A12)-1</f>
        <v>11</v>
      </c>
      <c r="B12">
        <v>10</v>
      </c>
      <c r="C12" t="str" cm="1">
        <f t="array" ref="C12">GetValue("Tbl","Name",B12)</f>
        <v>Maskings</v>
      </c>
      <c r="D12">
        <v>9</v>
      </c>
      <c r="E12" t="str" cm="1">
        <f t="array" ref="E12">GetValue("Tbl","Name",D12)</f>
        <v>Masks</v>
      </c>
      <c r="F12" t="str">
        <f>CONCAT(C12," x ",E12)</f>
        <v>Maskings x Masks</v>
      </c>
      <c r="G12" t="b">
        <v>1</v>
      </c>
    </row>
    <row r="13">
      <c r="A13">
        <f>ROW(A13)-1</f>
        <v>12</v>
      </c>
      <c r="B13">
        <v>11</v>
      </c>
      <c r="C13" t="str" cm="1">
        <f t="array" ref="C13">GetValue("Tbl","Name",B13)</f>
        <v>Databases</v>
      </c>
      <c r="D13">
        <v>7</v>
      </c>
      <c r="E13" t="str" cm="1">
        <f t="array" ref="E13">GetValue("Tbl","Name",D13)</f>
        <v>Owners</v>
      </c>
      <c r="F13" t="str">
        <f>CONCAT(C13," x ",E13)</f>
        <v>Databases x Owners</v>
      </c>
      <c r="G13" t="b">
        <v>1</v>
      </c>
    </row>
    <row r="14">
      <c r="A14">
        <f>ROW(A14)-1</f>
        <v>13</v>
      </c>
      <c r="B14">
        <v>14</v>
      </c>
      <c r="C14" t="str" cm="1">
        <f t="array" ref="C14">GetValue("Tbl","Name",B14)</f>
        <v>Systems</v>
      </c>
      <c r="D14">
        <v>12</v>
      </c>
      <c r="E14" t="str" cm="1">
        <f t="array" ref="E14">GetValue("Tbl","Name",D14)</f>
        <v>Environments</v>
      </c>
      <c r="F14" t="str">
        <f>CONCAT(C14," x ",E14)</f>
        <v>Systems x Environments</v>
      </c>
      <c r="G14" t="b">
        <v>1</v>
      </c>
    </row>
    <row r="15">
      <c r="A15">
        <f>ROW(A15)-1</f>
        <v>14</v>
      </c>
      <c r="B15">
        <v>14</v>
      </c>
      <c r="C15" t="str" cm="1">
        <f t="array" ref="C15">GetValue("Tbl","Name",B15)</f>
        <v>Systems</v>
      </c>
      <c r="D15">
        <v>4</v>
      </c>
      <c r="E15" t="str" cm="1">
        <f t="array" ref="E15">GetValue("Tbl","Name",D15)</f>
        <v>Engines</v>
      </c>
      <c r="F15" t="str">
        <f>CONCAT(C15," x ",E15)</f>
        <v>Systems x Engines</v>
      </c>
      <c r="G15" t="b">
        <v>1</v>
      </c>
    </row>
    <row r="16">
      <c r="A16">
        <f>ROW(A16)-1</f>
        <v>15</v>
      </c>
      <c r="B16">
        <v>15</v>
      </c>
      <c r="C16" t="str" cm="1">
        <f t="array" ref="C16">GetValue("Tbl","Name",B16)</f>
        <v>Menus</v>
      </c>
      <c r="D16">
        <v>12</v>
      </c>
      <c r="E16" t="str" cm="1">
        <f t="array" ref="E16">GetValue("Tbl","Name",D16)</f>
        <v>Environments</v>
      </c>
      <c r="F16" t="str">
        <f>CONCAT(C16," x ",E16)</f>
        <v>Menus x Environments</v>
      </c>
      <c r="G16" t="b">
        <v>1</v>
      </c>
    </row>
    <row r="17">
      <c r="A17">
        <f>ROW(A17)-1</f>
        <v>16</v>
      </c>
      <c r="B17">
        <v>16</v>
      </c>
      <c r="C17" t="str" cm="1">
        <f t="array" ref="C17">GetValue("Tbl","Name",B17)</f>
        <v>Tables</v>
      </c>
      <c r="D17">
        <v>15</v>
      </c>
      <c r="E17" t="str" cm="1">
        <f t="array" ref="E17">GetValue("Tbl","Name",D17)</f>
        <v>Menus</v>
      </c>
      <c r="F17" t="str">
        <f>CONCAT(C17," x ",E17)</f>
        <v>Tables x Menus</v>
      </c>
      <c r="G17" t="b">
        <v>1</v>
      </c>
    </row>
    <row r="18">
      <c r="A18">
        <f>ROW(A18)-1</f>
        <v>17</v>
      </c>
      <c r="B18">
        <v>16</v>
      </c>
      <c r="C18" t="str" cm="1">
        <f t="array" ref="C18">GetValue("Tbl","Name",B18)</f>
        <v>Tables</v>
      </c>
      <c r="D18">
        <v>14</v>
      </c>
      <c r="E18" t="str" cm="1">
        <f t="array" ref="E18">GetValue("Tbl","Name",D18)</f>
        <v>Systems</v>
      </c>
      <c r="F18" t="str">
        <f>CONCAT(C18," x ",E18)</f>
        <v>Tables x Systems</v>
      </c>
      <c r="G18" t="b">
        <v>0</v>
      </c>
    </row>
    <row r="19">
      <c r="A19">
        <f>ROW(A19)-1</f>
        <v>18</v>
      </c>
      <c r="B19">
        <v>17</v>
      </c>
      <c r="C19" t="str" cm="1">
        <f t="array" ref="C19">GetValue("Tbl","Name",B19)</f>
        <v>Columns</v>
      </c>
      <c r="D19">
        <v>5</v>
      </c>
      <c r="E19" t="str" cm="1">
        <f t="array" ref="E19">GetValue("Tbl","Name",D19)</f>
        <v>Types</v>
      </c>
      <c r="F19" t="str">
        <f>CONCAT(C19," x ",E19)</f>
        <v>Columns x Types</v>
      </c>
      <c r="G19" t="b">
        <v>0</v>
      </c>
    </row>
    <row r="20">
      <c r="A20">
        <f>ROW(A20)-1</f>
        <v>19</v>
      </c>
      <c r="B20">
        <v>17</v>
      </c>
      <c r="C20" t="str" cm="1">
        <f t="array" ref="C20">GetValue("Tbl","Name",B20)</f>
        <v>Columns</v>
      </c>
      <c r="D20">
        <v>7</v>
      </c>
      <c r="E20" t="str" cm="1">
        <f t="array" ref="E20">GetValue("Tbl","Name",D20)</f>
        <v>Owners</v>
      </c>
      <c r="F20" t="str">
        <f>CONCAT(C20," x ",E20)</f>
        <v>Columns x Owners</v>
      </c>
      <c r="G20" t="b">
        <v>0</v>
      </c>
    </row>
    <row r="21">
      <c r="A21">
        <f>ROW(A21)-1</f>
        <v>20</v>
      </c>
      <c r="B21">
        <v>18</v>
      </c>
      <c r="C21" t="str" cm="1">
        <f t="array" ref="C21">GetValue("Tbl","Name",B21)</f>
        <v>Indexes</v>
      </c>
      <c r="D21">
        <v>17</v>
      </c>
      <c r="E21" t="str" cm="1">
        <f t="array" ref="E21">GetValue("Tbl","Name",D21)</f>
        <v>Columns</v>
      </c>
      <c r="F21" t="str">
        <f>CONCAT(C21," x ",E21)</f>
        <v>Indexes x Columns</v>
      </c>
      <c r="G21" t="b">
        <v>0</v>
      </c>
    </row>
    <row r="22">
      <c r="A22">
        <f>ROW(A22)-1</f>
        <v>21</v>
      </c>
      <c r="B22">
        <v>19</v>
      </c>
      <c r="C22" t="str" cm="1">
        <f t="array" ref="C22">GetValue("Tbl","Name",B22)</f>
        <v>Indexkeys</v>
      </c>
      <c r="D22">
        <v>18</v>
      </c>
      <c r="E22" t="str" cm="1">
        <f t="array" ref="E22">GetValue("Tbl","Name",D22)</f>
        <v>Indexes</v>
      </c>
      <c r="F22" t="str">
        <f>CONCAT(C22," x ",E22)</f>
        <v>Indexkeys x Indexes</v>
      </c>
      <c r="G22" t="b">
        <v>0</v>
      </c>
    </row>
    <row r="23">
      <c r="A23">
        <f>ROW(A23)-1</f>
        <v>22</v>
      </c>
      <c r="B23">
        <v>20</v>
      </c>
      <c r="C23" t="str" cm="1">
        <f t="array" ref="C23">GetValue("Tbl","Name",B23)</f>
        <v>Includes</v>
      </c>
      <c r="D23">
        <v>14</v>
      </c>
      <c r="E23" t="str" cm="1">
        <f t="array" ref="E23">GetValue("Tbl","Name",D23)</f>
        <v>Systems</v>
      </c>
      <c r="F23" t="str">
        <f>CONCAT(C23," x ",E23)</f>
        <v>Includes x Systems</v>
      </c>
      <c r="G23" t="b">
        <v>0</v>
      </c>
    </row>
    <row r="24">
      <c r="A24">
        <f>ROW(A24)-1</f>
        <v>23</v>
      </c>
      <c r="B24">
        <v>20</v>
      </c>
      <c r="C24" t="str" cm="1">
        <f t="array" ref="C24">GetValue("Tbl","Name",B24)</f>
        <v>Includes</v>
      </c>
      <c r="D24">
        <v>14</v>
      </c>
      <c r="E24" t="str" cm="1">
        <f t="array" ref="E24">GetValue("Tbl","Name",D24)</f>
        <v>Systems</v>
      </c>
      <c r="F24" t="str">
        <f>CONCAT(C24," x ",E24)</f>
        <v>Includes x Systems</v>
      </c>
      <c r="G24" t="b">
        <v>0</v>
      </c>
    </row>
    <row r="25">
      <c r="A25">
        <f>ROW(A25)-1</f>
        <v>24</v>
      </c>
      <c r="B25">
        <v>22</v>
      </c>
      <c r="C25" t="str" cm="1">
        <f t="array" ref="C25">GetValue("Tbl","Name",B25)</f>
        <v>Expressions</v>
      </c>
      <c r="D25">
        <v>1</v>
      </c>
      <c r="E25" t="str" cm="1">
        <f t="array" ref="E25">GetValue("Tbl","Name",D25)</f>
        <v>Categories</v>
      </c>
      <c r="F25" t="str">
        <f>CONCAT(C25," x ",E25)</f>
        <v>Expressions x Categories</v>
      </c>
      <c r="G25" t="b">
        <v>0</v>
      </c>
    </row>
    <row r="26">
      <c r="A26">
        <f>ROW(A26)-1</f>
        <v>25</v>
      </c>
      <c r="B26">
        <v>22</v>
      </c>
      <c r="C26" t="str" cm="1">
        <f t="array" ref="C26">GetValue("Tbl","Name",B26)</f>
        <v>Expressions</v>
      </c>
      <c r="D26">
        <v>21</v>
      </c>
      <c r="E26" t="str" cm="1">
        <f t="array" ref="E26">GetValue("Tbl","Name",D26)</f>
        <v>Unicities</v>
      </c>
      <c r="F26" t="str">
        <f>CONCAT(C26," x ",E26)</f>
        <v>Expressions x Unicities</v>
      </c>
      <c r="G26" t="b">
        <v>0</v>
      </c>
    </row>
    <row r="27">
      <c r="A27">
        <f>ROW(A27)-1</f>
        <v>26</v>
      </c>
      <c r="B27">
        <v>24</v>
      </c>
      <c r="C27" t="str" cm="1">
        <f t="array" ref="C27">GetValue("Tbl","Name",B27)</f>
        <v>References</v>
      </c>
      <c r="D27">
        <v>12</v>
      </c>
      <c r="E27" t="str" cm="1">
        <f t="array" ref="E27">GetValue("Tbl","Name",D27)</f>
        <v>Environments</v>
      </c>
      <c r="F27" t="str">
        <f>CONCAT(C27," x ",E27)</f>
        <v>References x Environments</v>
      </c>
      <c r="G27" t="b">
        <v>0</v>
      </c>
    </row>
  </sheetData>
  <pageMargins left="0.511811024" right="0.511811024" top="0.787401575" bottom="0.787401575" header="0.31496062" footer="0.31496062"/>
  <ignoredErrors>
    <ignoredError numberStoredAsText="1" sqref="A1:M27"/>
  </ignoredErrors>
</worksheet>
</file>

<file path=xl/worksheets/sheet25.xml><?xml version="1.0" encoding="utf-8"?>
<worksheet xmlns="http://schemas.openxmlformats.org/spreadsheetml/2006/main" xmlns:r="http://schemas.openxmlformats.org/officeDocument/2006/relationships">
  <dimension ref="A1:F27"/>
  <sheetViews>
    <sheetView workbookViewId="0" rightToLeft="0"/>
  </sheetViews>
  <sheetData>
    <row r="1">
      <c r="A1" t="str">
        <v>*Id</v>
      </c>
      <c r="B1" t="str">
        <v>ReferenceId</v>
      </c>
      <c r="C1" t="str">
        <v>#ReferenceName</v>
      </c>
      <c r="D1" t="str">
        <v>FkColumnId</v>
      </c>
      <c r="E1" t="str">
        <v>#FkColumnName</v>
      </c>
      <c r="F1" t="str">
        <v>Sequence</v>
      </c>
    </row>
    <row r="2">
      <c r="A2">
        <f>ROW(A2)-1</f>
        <v>1</v>
      </c>
      <c r="B2">
        <v>1</v>
      </c>
      <c r="C2" t="str" cm="1">
        <f t="array" ref="C2">GetValue("Ref","Name",B2)</f>
        <v>Rules x Categories</v>
      </c>
      <c r="D2">
        <v>13</v>
      </c>
      <c r="E2" t="str" cm="1">
        <f t="array" ref="E2">GetValue("Col","Name",D2)</f>
        <v>Symbol</v>
      </c>
      <c r="F2">
        <v>5</v>
      </c>
    </row>
    <row r="3">
      <c r="A3">
        <f>ROW(A3)-1</f>
        <v>2</v>
      </c>
      <c r="B3">
        <v>2</v>
      </c>
      <c r="C3" t="str" cm="1">
        <f t="array" ref="C3">GetValue("Ref","Name",B3)</f>
        <v>Rules x Comparators</v>
      </c>
      <c r="D3">
        <v>31</v>
      </c>
      <c r="E3" t="str" cm="1">
        <f t="array" ref="E3">GetValue("Col","Name",D3)</f>
        <v>AskDecimals</v>
      </c>
      <c r="F3">
        <v>5</v>
      </c>
    </row>
    <row r="4">
      <c r="A4">
        <f>ROW(A4)-1</f>
        <v>3</v>
      </c>
      <c r="B4">
        <v>3</v>
      </c>
      <c r="C4" t="str" cm="1">
        <f t="array" ref="C4">GetValue("Ref","Name",B4)</f>
        <v>Types x Categories</v>
      </c>
      <c r="D4">
        <v>32</v>
      </c>
      <c r="E4" t="str" cm="1">
        <f t="array" ref="E4">GetValue("Col","Name",D4)</f>
        <v>AskPrimarykey</v>
      </c>
      <c r="F4">
        <v>5</v>
      </c>
    </row>
    <row r="5">
      <c r="A5">
        <f>ROW(A5)-1</f>
        <v>4</v>
      </c>
      <c r="B5">
        <v>4</v>
      </c>
      <c r="C5" t="str" cm="1">
        <f t="array" ref="C5">GetValue("Ref","Name",B5)</f>
        <v>Mappings x Engines</v>
      </c>
      <c r="D5">
        <v>53</v>
      </c>
      <c r="E5" t="str" cm="1">
        <f t="array" ref="E5">GetValue("Col","Name",D5)</f>
        <v>Length</v>
      </c>
      <c r="F5">
        <v>5</v>
      </c>
    </row>
    <row r="6">
      <c r="A6">
        <f>ROW(A6)-1</f>
        <v>5</v>
      </c>
      <c r="B6">
        <v>5</v>
      </c>
      <c r="C6" t="str" cm="1">
        <f t="array" ref="C6">GetValue("Ref","Name",B6)</f>
        <v>Mappings x Types</v>
      </c>
      <c r="D6">
        <v>48</v>
      </c>
      <c r="E6" t="str" cm="1">
        <f t="array" ref="E6">GetValue("Col","Name",D6)</f>
        <v>IsActive</v>
      </c>
      <c r="F6">
        <v>5</v>
      </c>
    </row>
    <row r="7">
      <c r="A7">
        <f>ROW(A7)-1</f>
        <v>6</v>
      </c>
      <c r="B7">
        <v>6</v>
      </c>
      <c r="C7" t="str" cm="1">
        <f t="array" ref="C7">GetValue("Ref","Name",B7)</f>
        <v>Owners x Engines</v>
      </c>
      <c r="D7">
        <v>61</v>
      </c>
      <c r="E7" t="str" cm="1">
        <f t="array" ref="E7">GetValue("Col","Name",D7)</f>
        <v>Id</v>
      </c>
      <c r="F7">
        <v>5</v>
      </c>
    </row>
    <row r="8">
      <c r="A8">
        <f>ROW(A8)-1</f>
        <v>7</v>
      </c>
      <c r="B8">
        <v>7</v>
      </c>
      <c r="C8" t="str" cm="1">
        <f t="array" ref="C8">GetValue("Ref","Name",B8)</f>
        <v>Domains x Owners</v>
      </c>
      <c r="D8">
        <v>62</v>
      </c>
      <c r="E8" t="str" cm="1">
        <f t="array" ref="E8">GetValue("Col","Name",D8)</f>
        <v>OwnertId</v>
      </c>
      <c r="F8">
        <v>5</v>
      </c>
    </row>
    <row r="9">
      <c r="A9">
        <f>ROW(A9)-1</f>
        <v>8</v>
      </c>
      <c r="B9">
        <v>8</v>
      </c>
      <c r="C9" t="str" cm="1">
        <f t="array" ref="C9">GetValue("Ref","Name",B9)</f>
        <v>Domains x Types</v>
      </c>
      <c r="D9">
        <v>68</v>
      </c>
      <c r="E9" t="str" cm="1">
        <f t="array" ref="E9">GetValue("Col","Name",D9)</f>
        <v>MaskId</v>
      </c>
      <c r="F9">
        <v>5</v>
      </c>
    </row>
    <row r="10">
      <c r="A10">
        <f>ROW(A10)-1</f>
        <v>9</v>
      </c>
      <c r="B10">
        <v>9</v>
      </c>
      <c r="C10" t="str" cm="1">
        <f t="array" ref="C10">GetValue("Ref","Name",B10)</f>
        <v>Masks x Owners</v>
      </c>
      <c r="D10">
        <v>76</v>
      </c>
      <c r="E10" t="str" cm="1">
        <f t="array" ref="E10">GetValue("Col","Name",D10)</f>
        <v>Id</v>
      </c>
      <c r="F10">
        <v>5</v>
      </c>
    </row>
    <row r="11">
      <c r="A11">
        <f>ROW(A11)-1</f>
        <v>10</v>
      </c>
      <c r="B11">
        <v>10</v>
      </c>
      <c r="C11" t="str" cm="1">
        <f t="array" ref="C11">GetValue("Ref","Name",B11)</f>
        <v>Maskings x Domains</v>
      </c>
      <c r="D11">
        <v>77</v>
      </c>
      <c r="E11" t="str" cm="1">
        <f t="array" ref="E11">GetValue("Col","Name",D11)</f>
        <v>OwnertId</v>
      </c>
      <c r="F11">
        <v>5</v>
      </c>
    </row>
    <row r="12">
      <c r="A12">
        <f>ROW(A12)-1</f>
        <v>11</v>
      </c>
      <c r="B12">
        <v>11</v>
      </c>
      <c r="C12" t="str" cm="1">
        <f t="array" ref="C12">GetValue("Ref","Name",B12)</f>
        <v>Maskings x Masks</v>
      </c>
      <c r="D12">
        <v>85</v>
      </c>
      <c r="E12" t="str" cm="1">
        <f t="array" ref="E12">GetValue("Col","Name",D12)</f>
        <v>Directory</v>
      </c>
      <c r="F12">
        <v>5</v>
      </c>
    </row>
    <row r="13">
      <c r="A13">
        <f>ROW(A13)-1</f>
        <v>12</v>
      </c>
      <c r="B13">
        <v>12</v>
      </c>
      <c r="C13" t="str" cm="1">
        <f t="array" ref="C13">GetValue("Ref","Name",B13)</f>
        <v>Databases x Owners</v>
      </c>
      <c r="D13">
        <v>86</v>
      </c>
      <c r="E13" t="str" cm="1">
        <f t="array" ref="E13">GetValue("Col","Name",D13)</f>
        <v>ConnectionString</v>
      </c>
      <c r="F13">
        <v>5</v>
      </c>
    </row>
    <row r="14">
      <c r="A14">
        <f>ROW(A14)-1</f>
        <v>13</v>
      </c>
      <c r="B14">
        <v>13</v>
      </c>
      <c r="C14" t="str" cm="1">
        <f t="array" ref="C14">GetValue("Ref","Name",B14)</f>
        <v>Systems x Environments</v>
      </c>
      <c r="D14">
        <v>89</v>
      </c>
      <c r="E14" t="str" cm="1">
        <f t="array" ref="E14">GetValue("Col","Name",D14)</f>
        <v>DatabaseId</v>
      </c>
      <c r="F14">
        <v>5</v>
      </c>
    </row>
    <row r="15">
      <c r="A15">
        <f>ROW(A15)-1</f>
        <v>14</v>
      </c>
      <c r="B15">
        <v>14</v>
      </c>
      <c r="C15" t="str" cm="1">
        <f t="array" ref="C15">GetValue("Ref","Name",B15)</f>
        <v>Systems x Engines</v>
      </c>
      <c r="D15">
        <v>91</v>
      </c>
      <c r="E15" t="str" cm="1">
        <f t="array" ref="E15">GetValue("Col","Name",D15)</f>
        <v>Name</v>
      </c>
      <c r="F15">
        <v>5</v>
      </c>
    </row>
    <row r="16">
      <c r="A16">
        <f>ROW(A16)-1</f>
        <v>15</v>
      </c>
      <c r="B16">
        <v>15</v>
      </c>
      <c r="C16" t="str" cm="1">
        <f t="array" ref="C16">GetValue("Ref","Name",B16)</f>
        <v>Menus x Environments</v>
      </c>
      <c r="D16">
        <v>111</v>
      </c>
      <c r="E16" t="str" cm="1">
        <f t="array" ref="E16">GetValue("Col","Name",D16)</f>
        <v>TableId</v>
      </c>
      <c r="F16">
        <v>5</v>
      </c>
    </row>
    <row r="17">
      <c r="A17">
        <f>ROW(A17)-1</f>
        <v>16</v>
      </c>
      <c r="B17">
        <v>16</v>
      </c>
      <c r="C17" t="str" cm="1">
        <f t="array" ref="C17">GetValue("Ref","Name",B17)</f>
        <v>Tables x Menus</v>
      </c>
      <c r="D17">
        <v>115</v>
      </c>
      <c r="E17" t="str" cm="1">
        <f t="array" ref="E17">GetValue("Col","Name",D17)</f>
        <v>Description</v>
      </c>
      <c r="F17">
        <v>5</v>
      </c>
    </row>
    <row r="18">
      <c r="A18">
        <f>ROW(A18)-1</f>
        <v>17</v>
      </c>
      <c r="B18">
        <v>17</v>
      </c>
      <c r="C18" t="str" cm="1">
        <f t="array" ref="C18">GetValue("Ref","Name",B18)</f>
        <v>Tables x Systems</v>
      </c>
      <c r="D18">
        <v>117</v>
      </c>
      <c r="E18" t="str" cm="1">
        <f t="array" ref="E18">GetValue("Col","Name",D18)</f>
        <v>IsRequired</v>
      </c>
      <c r="F18">
        <v>5</v>
      </c>
    </row>
    <row r="19">
      <c r="A19">
        <f>ROW(A19)-1</f>
        <v>18</v>
      </c>
      <c r="B19">
        <v>18</v>
      </c>
      <c r="C19" t="str" cm="1">
        <f t="array" ref="C19">GetValue("Ref","Name",B19)</f>
        <v>Columns x Types</v>
      </c>
      <c r="D19">
        <v>120</v>
      </c>
      <c r="E19" t="str" cm="1">
        <f t="array" ref="E19">GetValue("Col","Name",D19)</f>
        <v>IsFilterable</v>
      </c>
      <c r="F19">
        <v>5</v>
      </c>
    </row>
    <row r="20">
      <c r="A20">
        <f>ROW(A20)-1</f>
        <v>19</v>
      </c>
      <c r="B20">
        <v>19</v>
      </c>
      <c r="C20" t="str" cm="1">
        <f t="array" ref="C20">GetValue("Ref","Name",B20)</f>
        <v>Columns x Owners</v>
      </c>
      <c r="D20">
        <v>121</v>
      </c>
      <c r="E20" t="str" cm="1">
        <f t="array" ref="E20">GetValue("Col","Name",D20)</f>
        <v>IsEditable</v>
      </c>
      <c r="F20">
        <v>5</v>
      </c>
    </row>
    <row r="21">
      <c r="A21">
        <f>ROW(A21)-1</f>
        <v>20</v>
      </c>
      <c r="B21">
        <v>20</v>
      </c>
      <c r="C21" t="str" cm="1">
        <f t="array" ref="C21">GetValue("Ref","Name",B21)</f>
        <v>Indexes x Columns</v>
      </c>
      <c r="D21">
        <v>126</v>
      </c>
      <c r="E21" t="str" cm="1">
        <f t="array" ref="E21">GetValue("Col","Name",D21)</f>
        <v>IsVirtual</v>
      </c>
      <c r="F21">
        <v>5</v>
      </c>
    </row>
    <row r="22">
      <c r="A22">
        <f>ROW(A22)-1</f>
        <v>21</v>
      </c>
      <c r="B22">
        <v>21</v>
      </c>
      <c r="C22" t="str" cm="1">
        <f t="array" ref="C22">GetValue("Ref","Name",B22)</f>
        <v>Indexkeys x Indexes</v>
      </c>
      <c r="D22">
        <v>129</v>
      </c>
      <c r="E22" t="str" cm="1">
        <f t="array" ref="E22">GetValue("Col","Name",D22)</f>
        <v>Name</v>
      </c>
      <c r="F22">
        <v>5</v>
      </c>
    </row>
    <row r="23">
      <c r="A23">
        <f>ROW(A23)-1</f>
        <v>22</v>
      </c>
      <c r="B23">
        <v>22</v>
      </c>
      <c r="C23" t="str" cm="1">
        <f t="array" ref="C23">GetValue("Ref","Name",B23)</f>
        <v>Includes x Systems</v>
      </c>
      <c r="D23">
        <v>136</v>
      </c>
      <c r="E23" t="str" cm="1">
        <f t="array" ref="E23">GetValue("Col","Name",D23)</f>
        <v>Id</v>
      </c>
      <c r="F23">
        <v>5</v>
      </c>
    </row>
    <row r="24">
      <c r="A24">
        <f>ROW(A24)-1</f>
        <v>23</v>
      </c>
      <c r="B24">
        <v>23</v>
      </c>
      <c r="C24" t="str" cm="1">
        <f t="array" ref="C24">GetValue("Ref","Name",B24)</f>
        <v>Includes x Systems</v>
      </c>
      <c r="D24">
        <v>137</v>
      </c>
      <c r="E24" t="str" cm="1">
        <f t="array" ref="E24">GetValue("Col","Name",D24)</f>
        <v>IndexId</v>
      </c>
      <c r="F24">
        <v>5</v>
      </c>
    </row>
    <row r="25">
      <c r="A25">
        <f>ROW(A25)-1</f>
        <v>24</v>
      </c>
      <c r="B25">
        <v>24</v>
      </c>
      <c r="C25" t="str" cm="1">
        <f t="array" ref="C25">GetValue("Ref","Name",B25)</f>
        <v>Expressions x Categories</v>
      </c>
      <c r="D25">
        <v>144</v>
      </c>
      <c r="E25" t="str" cm="1">
        <f t="array" ref="E25">GetValue("Col","Name",D25)</f>
        <v>TableId</v>
      </c>
      <c r="F25">
        <v>5</v>
      </c>
    </row>
    <row r="26">
      <c r="A26">
        <f>ROW(A26)-1</f>
        <v>25</v>
      </c>
      <c r="B26">
        <v>25</v>
      </c>
      <c r="C26" t="str" cm="1">
        <f t="array" ref="C26">GetValue("Ref","Name",B26)</f>
        <v>Expressions x Unicities</v>
      </c>
      <c r="D26">
        <v>145</v>
      </c>
      <c r="E26" t="str" cm="1">
        <f t="array" ref="E26">GetValue("Col","Name",D26)</f>
        <v>Name</v>
      </c>
      <c r="F26">
        <v>5</v>
      </c>
    </row>
    <row r="27">
      <c r="A27">
        <f>ROW(A27)-1</f>
        <v>26</v>
      </c>
      <c r="B27">
        <v>26</v>
      </c>
      <c r="C27" t="str" cm="1">
        <f t="array" ref="C27">GetValue("Ref","Name",B27)</f>
        <v>References x Environments</v>
      </c>
      <c r="D27">
        <v>154</v>
      </c>
      <c r="E27" t="str" cm="1">
        <f t="array" ref="E27">GetValue("Col","Name",D27)</f>
        <v>RightValues</v>
      </c>
      <c r="F27">
        <v>5</v>
      </c>
    </row>
  </sheetData>
  <pageMargins left="0.511811024" right="0.511811024" top="0.787401575" bottom="0.787401575" header="0.31496062" footer="0.31496062"/>
  <ignoredErrors>
    <ignoredError numberStoredAsText="1" sqref="A1:F27"/>
  </ignoredErrors>
</worksheet>
</file>

<file path=xl/worksheets/sheet26.xml><?xml version="1.0" encoding="utf-8"?>
<worksheet xmlns="http://schemas.openxmlformats.org/spreadsheetml/2006/main" xmlns:r="http://schemas.openxmlformats.org/officeDocument/2006/relationships">
  <dimension ref="A1:G3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Name</v>
      </c>
      <c r="E1" t="str">
        <v>Password</v>
      </c>
      <c r="F1" t="str">
        <v>RetryLogins</v>
      </c>
      <c r="G1" t="str">
        <v>IsActive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D2" t="str">
        <v>adm</v>
      </c>
      <c r="E2" t="str">
        <v>adm</v>
      </c>
      <c r="F2">
        <v>0</v>
      </c>
      <c r="G2" t="b">
        <v>1</v>
      </c>
    </row>
    <row r="3">
      <c r="A3">
        <f>ROW(A3)-1</f>
        <v>2</v>
      </c>
      <c r="B3">
        <v>1</v>
      </c>
      <c r="C3" t="str" cm="1">
        <f t="array" ref="C3">GetValue("Own","Name",B3)</f>
        <v>SoftLab</v>
      </c>
      <c r="D3" t="str">
        <v>labrego</v>
      </c>
      <c r="E3" t="str">
        <v>diva</v>
      </c>
      <c r="F3">
        <v>0</v>
      </c>
      <c r="G3" t="b">
        <v>1</v>
      </c>
    </row>
  </sheetData>
  <pageMargins left="0.511811024" right="0.511811024" top="0.787401575" bottom="0.787401575" header="0.31496062" footer="0.31496062"/>
  <ignoredErrors>
    <ignoredError numberStoredAsText="1" sqref="A1:G3"/>
  </ignoredErrors>
</worksheet>
</file>

<file path=xl/worksheets/sheet27.xml><?xml version="1.0" encoding="utf-8"?>
<worksheet xmlns="http://schemas.openxmlformats.org/spreadsheetml/2006/main" xmlns:r="http://schemas.openxmlformats.org/officeDocument/2006/relationships">
  <dimension ref="A1:K55"/>
  <sheetViews>
    <sheetView workbookViewId="0" rightToLeft="0"/>
  </sheetViews>
  <sheetData>
    <row r="1">
      <c r="A1" t="str">
        <v>*Id</v>
      </c>
      <c r="B1" t="str">
        <v>SystemId</v>
      </c>
      <c r="C1" t="str">
        <v>#SystemName</v>
      </c>
      <c r="D1" t="str">
        <v>UserId</v>
      </c>
      <c r="E1" t="str">
        <v>#UserName</v>
      </c>
      <c r="F1" t="str">
        <v>TableId</v>
      </c>
      <c r="G1" t="str">
        <v>#TableName</v>
      </c>
      <c r="H1" t="str">
        <v>CanCreate</v>
      </c>
      <c r="I1" t="str">
        <v>CanRead</v>
      </c>
      <c r="J1" t="str">
        <v>CanUpdate</v>
      </c>
      <c r="K1" t="str">
        <v>CanDelete</v>
      </c>
    </row>
    <row r="2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>
        <v>1</v>
      </c>
      <c r="G2" t="str" cm="1">
        <f t="array" ref="G2">GetValue("Tbl","Name",F2)</f>
        <v>Categories</v>
      </c>
      <c r="H2" t="b">
        <v>1</v>
      </c>
      <c r="I2" t="b">
        <v>1</v>
      </c>
      <c r="J2" t="b">
        <v>1</v>
      </c>
      <c r="K2" t="b">
        <v>1</v>
      </c>
    </row>
    <row r="3">
      <c r="A3">
        <f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GetValue("Usr","Name",D3)</f>
        <v>adm</v>
      </c>
      <c r="F3">
        <v>2</v>
      </c>
      <c r="G3" t="str" cm="1">
        <f t="array" ref="G3">GetValue("Tbl","Name",F3)</f>
        <v>Comparators</v>
      </c>
      <c r="H3" t="b">
        <v>1</v>
      </c>
      <c r="I3" t="b">
        <v>1</v>
      </c>
      <c r="J3" t="b">
        <v>1</v>
      </c>
      <c r="K3" t="b">
        <v>1</v>
      </c>
    </row>
    <row r="4">
      <c r="A4">
        <f>ROW(A4)-1</f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GetValue("Usr","Name",D4)</f>
        <v>adm</v>
      </c>
      <c r="F4">
        <v>3</v>
      </c>
      <c r="G4" t="str" cm="1">
        <f t="array" ref="G4">GetValue("Tbl","Name",F4)</f>
        <v>Rules</v>
      </c>
      <c r="H4" t="b">
        <v>1</v>
      </c>
      <c r="I4" t="b">
        <v>1</v>
      </c>
      <c r="J4" t="b">
        <v>1</v>
      </c>
      <c r="K4" t="b">
        <v>1</v>
      </c>
    </row>
    <row r="5">
      <c r="A5">
        <f>ROW(A5)-1</f>
        <v>4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4</v>
      </c>
      <c r="G5" t="str" cm="1">
        <f t="array" ref="G5">GetValue("Tbl","Name",F5)</f>
        <v>Engines</v>
      </c>
      <c r="H5" t="b">
        <v>1</v>
      </c>
      <c r="I5" t="b">
        <v>1</v>
      </c>
      <c r="J5" t="b">
        <v>1</v>
      </c>
      <c r="K5" t="b">
        <v>1</v>
      </c>
    </row>
    <row r="6">
      <c r="A6">
        <f>ROW(A6)-1</f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5</v>
      </c>
      <c r="G6" t="str" cm="1">
        <f t="array" ref="G6">GetValue("Tbl","Name",F6)</f>
        <v>Types</v>
      </c>
      <c r="H6" t="b">
        <v>1</v>
      </c>
      <c r="I6" t="b">
        <v>1</v>
      </c>
      <c r="J6" t="b">
        <v>1</v>
      </c>
      <c r="K6" t="b">
        <v>1</v>
      </c>
    </row>
    <row r="7">
      <c r="A7">
        <f>ROW(A7)-1</f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6</v>
      </c>
      <c r="G7" t="str" cm="1">
        <f t="array" ref="G7">GetValue("Tbl","Name",F7)</f>
        <v>Mappings</v>
      </c>
      <c r="H7" t="b">
        <v>1</v>
      </c>
      <c r="I7" t="b">
        <v>1</v>
      </c>
      <c r="J7" t="b">
        <v>1</v>
      </c>
      <c r="K7" t="b">
        <v>1</v>
      </c>
    </row>
    <row r="8">
      <c r="A8">
        <f>ROW(A8)-1</f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7</v>
      </c>
      <c r="G8" t="str" cm="1">
        <f t="array" ref="G8">GetValue("Tbl","Name",F8)</f>
        <v>Owners</v>
      </c>
      <c r="H8" t="b">
        <v>1</v>
      </c>
      <c r="I8" t="b">
        <v>1</v>
      </c>
      <c r="J8" t="b">
        <v>1</v>
      </c>
      <c r="K8" t="b">
        <v>1</v>
      </c>
    </row>
    <row r="9">
      <c r="A9">
        <f>ROW(A9)-1</f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8</v>
      </c>
      <c r="G9" t="str" cm="1">
        <f t="array" ref="G9">GetValue("Tbl","Name",F9)</f>
        <v>Domains</v>
      </c>
      <c r="H9" t="b">
        <v>1</v>
      </c>
      <c r="I9" t="b">
        <v>1</v>
      </c>
      <c r="J9" t="b">
        <v>1</v>
      </c>
      <c r="K9" t="b">
        <v>1</v>
      </c>
    </row>
    <row r="10">
      <c r="A10">
        <f>ROW(A10)-1</f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9</v>
      </c>
      <c r="G10" t="str" cm="1">
        <f t="array" ref="G10">GetValue("Tbl","Name",F10)</f>
        <v>Masks</v>
      </c>
      <c r="H10" t="b">
        <v>1</v>
      </c>
      <c r="I10" t="b">
        <v>1</v>
      </c>
      <c r="J10" t="b">
        <v>1</v>
      </c>
      <c r="K10" t="b">
        <v>1</v>
      </c>
    </row>
    <row r="11">
      <c r="A11">
        <f>ROW(A11)-1</f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10</v>
      </c>
      <c r="G11" t="str" cm="1">
        <f t="array" ref="G11">GetValue("Tbl","Name",F11)</f>
        <v>Maskings</v>
      </c>
      <c r="H11" t="b">
        <v>1</v>
      </c>
      <c r="I11" t="b">
        <v>1</v>
      </c>
      <c r="J11" t="b">
        <v>1</v>
      </c>
      <c r="K11" t="b">
        <v>1</v>
      </c>
    </row>
    <row r="12">
      <c r="A12">
        <f>ROW(A12)-1</f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11</v>
      </c>
      <c r="G12" t="str" cm="1">
        <f t="array" ref="G12">GetValue("Tbl","Name",F12)</f>
        <v>Databases</v>
      </c>
      <c r="H12" t="b">
        <v>1</v>
      </c>
      <c r="I12" t="b">
        <v>1</v>
      </c>
      <c r="J12" t="b">
        <v>1</v>
      </c>
      <c r="K12" t="b">
        <v>1</v>
      </c>
    </row>
    <row r="13">
      <c r="A13">
        <f>ROW(A13)-1</f>
        <v>12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12</v>
      </c>
      <c r="G13" t="str" cm="1">
        <f t="array" ref="G13">GetValue("Tbl","Name",F13)</f>
        <v>Environments</v>
      </c>
      <c r="H13" t="b">
        <v>1</v>
      </c>
      <c r="I13" t="b">
        <v>1</v>
      </c>
      <c r="J13" t="b">
        <v>1</v>
      </c>
      <c r="K13" t="b">
        <v>1</v>
      </c>
    </row>
    <row r="14">
      <c r="A14">
        <f>ROW(A14)-1</f>
        <v>13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13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>
      <c r="A15">
        <f>ROW(A15)-1</f>
        <v>14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14</v>
      </c>
      <c r="G15" t="str" cm="1">
        <f t="array" ref="G15">GetValue("Tbl","Name",F15)</f>
        <v>Systems</v>
      </c>
      <c r="H15" t="b">
        <v>1</v>
      </c>
      <c r="I15" t="b">
        <v>1</v>
      </c>
      <c r="J15" t="b">
        <v>1</v>
      </c>
      <c r="K15" t="b">
        <v>1</v>
      </c>
    </row>
    <row r="16">
      <c r="A16">
        <f>ROW(A16)-1</f>
        <v>15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15</v>
      </c>
      <c r="G16" t="str" cm="1">
        <f t="array" ref="G16">GetValue("Tbl","Name",F16)</f>
        <v>Menus</v>
      </c>
      <c r="H16" t="b">
        <v>1</v>
      </c>
      <c r="I16" t="b">
        <v>1</v>
      </c>
      <c r="J16" t="b">
        <v>1</v>
      </c>
      <c r="K16" t="b">
        <v>1</v>
      </c>
    </row>
    <row r="17">
      <c r="A17">
        <f>ROW(A17)-1</f>
        <v>16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16</v>
      </c>
      <c r="G17" t="str" cm="1">
        <f t="array" ref="G17">GetValue("Tbl","Name",F17)</f>
        <v>Tables</v>
      </c>
      <c r="H17" t="b">
        <v>1</v>
      </c>
      <c r="I17" t="b">
        <v>1</v>
      </c>
      <c r="J17" t="b">
        <v>1</v>
      </c>
      <c r="K17" t="b">
        <v>1</v>
      </c>
    </row>
    <row r="18">
      <c r="A18">
        <f>ROW(A18)-1</f>
        <v>17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17</v>
      </c>
      <c r="G18" t="str" cm="1">
        <f t="array" ref="G18">GetValue("Tbl","Name",F18)</f>
        <v>Columns</v>
      </c>
      <c r="H18" t="b">
        <v>1</v>
      </c>
      <c r="I18" t="b">
        <v>1</v>
      </c>
      <c r="J18" t="b">
        <v>1</v>
      </c>
      <c r="K18" t="b">
        <v>1</v>
      </c>
    </row>
    <row r="19">
      <c r="A19">
        <f>ROW(A19)-1</f>
        <v>18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18</v>
      </c>
      <c r="G19" t="str" cm="1">
        <f t="array" ref="G19">GetValue("Tbl","Name",F19)</f>
        <v>Indexes</v>
      </c>
      <c r="H19" t="b">
        <v>1</v>
      </c>
      <c r="I19" t="b">
        <v>1</v>
      </c>
      <c r="J19" t="b">
        <v>1</v>
      </c>
      <c r="K19" t="b">
        <v>1</v>
      </c>
    </row>
    <row r="20">
      <c r="A20">
        <f>ROW(A20)-1</f>
        <v>19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19</v>
      </c>
      <c r="G20" t="str" cm="1">
        <f t="array" ref="G20">GetValue("Tbl","Name",F20)</f>
        <v>Indexkeys</v>
      </c>
      <c r="H20" t="b">
        <v>1</v>
      </c>
      <c r="I20" t="b">
        <v>1</v>
      </c>
      <c r="J20" t="b">
        <v>1</v>
      </c>
      <c r="K20" t="b">
        <v>1</v>
      </c>
    </row>
    <row r="21">
      <c r="A21">
        <f>ROW(A21)-1</f>
        <v>20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20</v>
      </c>
      <c r="G21" t="str" cm="1">
        <f t="array" ref="G21">GetValue("Tbl","Name",F21)</f>
        <v>Includes</v>
      </c>
      <c r="H21" t="b">
        <v>1</v>
      </c>
      <c r="I21" t="b">
        <v>1</v>
      </c>
      <c r="J21" t="b">
        <v>1</v>
      </c>
      <c r="K21" t="b">
        <v>1</v>
      </c>
    </row>
    <row r="22">
      <c r="A22">
        <f>ROW(A22)-1</f>
        <v>21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21</v>
      </c>
      <c r="G22" t="str" cm="1">
        <f t="array" ref="G22">GetValue("Tbl","Name",F22)</f>
        <v>Unicities</v>
      </c>
      <c r="H22" t="b">
        <v>1</v>
      </c>
      <c r="I22" t="b">
        <v>1</v>
      </c>
      <c r="J22" t="b">
        <v>1</v>
      </c>
      <c r="K22" t="b">
        <v>1</v>
      </c>
    </row>
    <row r="23">
      <c r="A23">
        <f>ROW(A23)-1</f>
        <v>22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22</v>
      </c>
      <c r="G23" t="str" cm="1">
        <f t="array" ref="G23">GetValue("Tbl","Name",F23)</f>
        <v>Expressions</v>
      </c>
      <c r="H23" t="b">
        <v>1</v>
      </c>
      <c r="I23" t="b">
        <v>1</v>
      </c>
      <c r="J23" t="b">
        <v>1</v>
      </c>
      <c r="K23" t="b">
        <v>1</v>
      </c>
    </row>
    <row r="24">
      <c r="A24">
        <f>ROW(A24)-1</f>
        <v>23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23</v>
      </c>
      <c r="G24" t="str" cm="1">
        <f t="array" ref="G24">GetValue("Tbl","Name",F24)</f>
        <v>Conditions</v>
      </c>
      <c r="H24" t="b">
        <v>1</v>
      </c>
      <c r="I24" t="b">
        <v>1</v>
      </c>
      <c r="J24" t="b">
        <v>1</v>
      </c>
      <c r="K24" t="b">
        <v>1</v>
      </c>
    </row>
    <row r="25">
      <c r="A25">
        <f>ROW(A25)-1</f>
        <v>24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24</v>
      </c>
      <c r="G25" t="str" cm="1">
        <f t="array" ref="G25">GetValue("Tbl","Name",F25)</f>
        <v>References</v>
      </c>
      <c r="H25" t="b">
        <v>1</v>
      </c>
      <c r="I25" t="b">
        <v>1</v>
      </c>
      <c r="J25" t="b">
        <v>1</v>
      </c>
      <c r="K25" t="b">
        <v>1</v>
      </c>
    </row>
    <row r="26">
      <c r="A26">
        <f>ROW(A26)-1</f>
        <v>25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25</v>
      </c>
      <c r="G26" t="str" cm="1">
        <f t="array" ref="G26">GetValue("Tbl","Name",F26)</f>
        <v>Referencekeys</v>
      </c>
      <c r="H26" t="b">
        <v>1</v>
      </c>
      <c r="I26" t="b">
        <v>1</v>
      </c>
      <c r="J26" t="b">
        <v>1</v>
      </c>
      <c r="K26" t="b">
        <v>1</v>
      </c>
    </row>
    <row r="27">
      <c r="A27">
        <f>ROW(A27)-1</f>
        <v>26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26</v>
      </c>
      <c r="G27" t="str" cm="1">
        <f t="array" ref="G27">GetValue("Tbl","Name",F27)</f>
        <v>Users</v>
      </c>
      <c r="H27" t="b">
        <v>1</v>
      </c>
      <c r="I27" t="b">
        <v>1</v>
      </c>
      <c r="J27" t="b">
        <v>1</v>
      </c>
      <c r="K27" t="b">
        <v>1</v>
      </c>
    </row>
    <row r="28">
      <c r="A28">
        <f>ROW(A28)-1</f>
        <v>27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27</v>
      </c>
      <c r="G28" t="str" cm="1">
        <f t="array" ref="G28">GetValue("Tbl","Name",F28)</f>
        <v>Permissions</v>
      </c>
      <c r="H28" t="b">
        <v>1</v>
      </c>
      <c r="I28" t="b">
        <v>1</v>
      </c>
      <c r="J28" t="b">
        <v>1</v>
      </c>
      <c r="K28" t="b">
        <v>1</v>
      </c>
    </row>
    <row r="29">
      <c r="A29">
        <f>ROW(A29)-1</f>
        <v>28</v>
      </c>
      <c r="B29">
        <v>1</v>
      </c>
      <c r="C29" t="str" cm="1">
        <f t="array" ref="C29">GetValue("Sys","Name",B29)</f>
        <v>crudex</v>
      </c>
      <c r="D29">
        <v>2</v>
      </c>
      <c r="E29" t="str" cm="1">
        <f t="array" ref="E29">GetValue("Usr","Name",D29)</f>
        <v>labrego</v>
      </c>
      <c r="F29">
        <v>1</v>
      </c>
      <c r="G29" t="str" cm="1">
        <f t="array" ref="G29">GetValue("Tbl","Name",F29)</f>
        <v>Categories</v>
      </c>
      <c r="H29" t="b">
        <v>1</v>
      </c>
      <c r="I29" t="b">
        <v>1</v>
      </c>
      <c r="J29" t="b">
        <v>1</v>
      </c>
      <c r="K29" t="b">
        <v>1</v>
      </c>
    </row>
    <row r="30">
      <c r="A30">
        <f>ROW(A30)-1</f>
        <v>29</v>
      </c>
      <c r="B30">
        <v>1</v>
      </c>
      <c r="C30" t="str" cm="1">
        <f t="array" ref="C30">GetValue("Sys","Name",B30)</f>
        <v>crudex</v>
      </c>
      <c r="D30">
        <v>2</v>
      </c>
      <c r="E30" t="str" cm="1">
        <f t="array" ref="E30">GetValue("Usr","Name",D30)</f>
        <v>labrego</v>
      </c>
      <c r="F30">
        <v>2</v>
      </c>
      <c r="G30" t="str" cm="1">
        <f t="array" ref="G30">GetValue("Tbl","Name",F30)</f>
        <v>Comparators</v>
      </c>
      <c r="H30" t="b">
        <v>1</v>
      </c>
      <c r="I30" t="b">
        <v>1</v>
      </c>
      <c r="J30" t="b">
        <v>1</v>
      </c>
      <c r="K30" t="b">
        <v>1</v>
      </c>
    </row>
    <row r="31">
      <c r="A31">
        <f>ROW(A31)-1</f>
        <v>30</v>
      </c>
      <c r="B31">
        <v>1</v>
      </c>
      <c r="C31" t="str" cm="1">
        <f t="array" ref="C31">GetValue("Sys","Name",B31)</f>
        <v>crudex</v>
      </c>
      <c r="D31">
        <v>2</v>
      </c>
      <c r="E31" t="str" cm="1">
        <f t="array" ref="E31">GetValue("Usr","Name",D31)</f>
        <v>labrego</v>
      </c>
      <c r="F31">
        <v>3</v>
      </c>
      <c r="G31" t="str" cm="1">
        <f t="array" ref="G31">GetValue("Tbl","Name",F31)</f>
        <v>Rules</v>
      </c>
      <c r="H31" t="b">
        <v>1</v>
      </c>
      <c r="I31" t="b">
        <v>1</v>
      </c>
      <c r="J31" t="b">
        <v>1</v>
      </c>
      <c r="K31" t="b">
        <v>1</v>
      </c>
    </row>
    <row r="32">
      <c r="A32">
        <f>ROW(A32)-1</f>
        <v>31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4</v>
      </c>
      <c r="G32" t="str" cm="1">
        <f t="array" ref="G32">GetValue("Tbl","Name",F32)</f>
        <v>Engines</v>
      </c>
      <c r="H32" t="b">
        <v>1</v>
      </c>
      <c r="I32" t="b">
        <v>1</v>
      </c>
      <c r="J32" t="b">
        <v>1</v>
      </c>
      <c r="K32" t="b">
        <v>1</v>
      </c>
    </row>
    <row r="33">
      <c r="A33">
        <f>ROW(A33)-1</f>
        <v>32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5</v>
      </c>
      <c r="G33" t="str" cm="1">
        <f t="array" ref="G33">GetValue("Tbl","Name",F33)</f>
        <v>Types</v>
      </c>
      <c r="H33" t="b">
        <v>1</v>
      </c>
      <c r="I33" t="b">
        <v>1</v>
      </c>
      <c r="J33" t="b">
        <v>1</v>
      </c>
      <c r="K33" t="b">
        <v>1</v>
      </c>
    </row>
    <row r="34">
      <c r="A34">
        <f>ROW(A34)-1</f>
        <v>33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6</v>
      </c>
      <c r="G34" t="str" cm="1">
        <f t="array" ref="G34">GetValue("Tbl","Name",F34)</f>
        <v>Mappings</v>
      </c>
      <c r="H34" t="b">
        <v>1</v>
      </c>
      <c r="I34" t="b">
        <v>1</v>
      </c>
      <c r="J34" t="b">
        <v>1</v>
      </c>
      <c r="K34" t="b">
        <v>1</v>
      </c>
    </row>
    <row r="35">
      <c r="A35">
        <f>ROW(A35)-1</f>
        <v>34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7</v>
      </c>
      <c r="G35" t="str" cm="1">
        <f t="array" ref="G35">GetValue("Tbl","Name",F35)</f>
        <v>Owners</v>
      </c>
      <c r="H35" t="b">
        <v>1</v>
      </c>
      <c r="I35" t="b">
        <v>1</v>
      </c>
      <c r="J35" t="b">
        <v>1</v>
      </c>
      <c r="K35" t="b">
        <v>1</v>
      </c>
    </row>
    <row r="36">
      <c r="A36">
        <f>ROW(A36)-1</f>
        <v>35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8</v>
      </c>
      <c r="G36" t="str" cm="1">
        <f t="array" ref="G36">GetValue("Tbl","Name",F36)</f>
        <v>Domains</v>
      </c>
      <c r="H36" t="b">
        <v>1</v>
      </c>
      <c r="I36" t="b">
        <v>1</v>
      </c>
      <c r="J36" t="b">
        <v>1</v>
      </c>
      <c r="K36" t="b">
        <v>1</v>
      </c>
    </row>
    <row r="37">
      <c r="A37">
        <f>ROW(A37)-1</f>
        <v>36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9</v>
      </c>
      <c r="G37" t="str" cm="1">
        <f t="array" ref="G37">GetValue("Tbl","Name",F37)</f>
        <v>Masks</v>
      </c>
      <c r="H37" t="b">
        <v>1</v>
      </c>
      <c r="I37" t="b">
        <v>1</v>
      </c>
      <c r="J37" t="b">
        <v>1</v>
      </c>
      <c r="K37" t="b">
        <v>1</v>
      </c>
    </row>
    <row r="38">
      <c r="A38">
        <f>ROW(A38)-1</f>
        <v>37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10</v>
      </c>
      <c r="G38" t="str" cm="1">
        <f t="array" ref="G38">GetValue("Tbl","Name",F38)</f>
        <v>Maskings</v>
      </c>
      <c r="H38" t="b">
        <v>1</v>
      </c>
      <c r="I38" t="b">
        <v>1</v>
      </c>
      <c r="J38" t="b">
        <v>1</v>
      </c>
      <c r="K38" t="b">
        <v>1</v>
      </c>
    </row>
    <row r="39">
      <c r="A39">
        <f>ROW(A39)-1</f>
        <v>38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11</v>
      </c>
      <c r="G39" t="str" cm="1">
        <f t="array" ref="G39">GetValue("Tbl","Name",F39)</f>
        <v>Databases</v>
      </c>
      <c r="H39" t="b">
        <v>1</v>
      </c>
      <c r="I39" t="b">
        <v>1</v>
      </c>
      <c r="J39" t="b">
        <v>1</v>
      </c>
      <c r="K39" t="b">
        <v>1</v>
      </c>
    </row>
    <row r="40">
      <c r="A40">
        <f>ROW(A40)-1</f>
        <v>39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12</v>
      </c>
      <c r="G40" t="str" cm="1">
        <f t="array" ref="G40">GetValue("Tbl","Name",F40)</f>
        <v>Environments</v>
      </c>
      <c r="H40" t="b">
        <v>1</v>
      </c>
      <c r="I40" t="b">
        <v>1</v>
      </c>
      <c r="J40" t="b">
        <v>1</v>
      </c>
      <c r="K40" t="b">
        <v>1</v>
      </c>
    </row>
    <row r="41">
      <c r="A41">
        <f>ROW(A41)-1</f>
        <v>40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13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>
      <c r="A42">
        <f>ROW(A42)-1</f>
        <v>41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14</v>
      </c>
      <c r="G42" t="str" cm="1">
        <f t="array" ref="G42">GetValue("Tbl","Name",F42)</f>
        <v>Systems</v>
      </c>
      <c r="H42" t="b">
        <v>1</v>
      </c>
      <c r="I42" t="b">
        <v>1</v>
      </c>
      <c r="J42" t="b">
        <v>1</v>
      </c>
      <c r="K42" t="b">
        <v>1</v>
      </c>
    </row>
    <row r="43">
      <c r="A43">
        <f>ROW(A43)-1</f>
        <v>42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15</v>
      </c>
      <c r="G43" t="str" cm="1">
        <f t="array" ref="G43">GetValue("Tbl","Name",F43)</f>
        <v>Menus</v>
      </c>
      <c r="H43" t="b">
        <v>1</v>
      </c>
      <c r="I43" t="b">
        <v>1</v>
      </c>
      <c r="J43" t="b">
        <v>1</v>
      </c>
      <c r="K43" t="b">
        <v>1</v>
      </c>
    </row>
    <row r="44">
      <c r="A44">
        <f>ROW(A44)-1</f>
        <v>43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16</v>
      </c>
      <c r="G44" t="str" cm="1">
        <f t="array" ref="G44">GetValue("Tbl","Name",F44)</f>
        <v>Tables</v>
      </c>
      <c r="H44" t="b">
        <v>1</v>
      </c>
      <c r="I44" t="b">
        <v>1</v>
      </c>
      <c r="J44" t="b">
        <v>1</v>
      </c>
      <c r="K44" t="b">
        <v>1</v>
      </c>
    </row>
    <row r="45">
      <c r="A45">
        <f>ROW(A45)-1</f>
        <v>44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17</v>
      </c>
      <c r="G45" t="str" cm="1">
        <f t="array" ref="G45">GetValue("Tbl","Name",F45)</f>
        <v>Columns</v>
      </c>
      <c r="H45" t="b">
        <v>1</v>
      </c>
      <c r="I45" t="b">
        <v>1</v>
      </c>
      <c r="J45" t="b">
        <v>1</v>
      </c>
      <c r="K45" t="b">
        <v>1</v>
      </c>
    </row>
    <row r="46">
      <c r="A46">
        <f>ROW(A46)-1</f>
        <v>45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18</v>
      </c>
      <c r="G46" t="str" cm="1">
        <f t="array" ref="G46">GetValue("Tbl","Name",F46)</f>
        <v>Indexes</v>
      </c>
      <c r="H46" t="b">
        <v>1</v>
      </c>
      <c r="I46" t="b">
        <v>1</v>
      </c>
      <c r="J46" t="b">
        <v>1</v>
      </c>
      <c r="K46" t="b">
        <v>1</v>
      </c>
    </row>
    <row r="47">
      <c r="A47">
        <f>ROW(A47)-1</f>
        <v>46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19</v>
      </c>
      <c r="G47" t="str" cm="1">
        <f t="array" ref="G47">GetValue("Tbl","Name",F47)</f>
        <v>Indexkeys</v>
      </c>
      <c r="H47" t="b">
        <v>1</v>
      </c>
      <c r="I47" t="b">
        <v>1</v>
      </c>
      <c r="J47" t="b">
        <v>1</v>
      </c>
      <c r="K47" t="b">
        <v>1</v>
      </c>
    </row>
    <row r="48">
      <c r="A48">
        <f>ROW(A48)-1</f>
        <v>47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20</v>
      </c>
      <c r="G48" t="str" cm="1">
        <f t="array" ref="G48">GetValue("Tbl","Name",F48)</f>
        <v>Includes</v>
      </c>
      <c r="H48" t="b">
        <v>1</v>
      </c>
      <c r="I48" t="b">
        <v>1</v>
      </c>
      <c r="J48" t="b">
        <v>1</v>
      </c>
      <c r="K48" t="b">
        <v>1</v>
      </c>
    </row>
    <row r="49">
      <c r="A49">
        <f>ROW(A49)-1</f>
        <v>48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21</v>
      </c>
      <c r="G49" t="str" cm="1">
        <f t="array" ref="G49">GetValue("Tbl","Name",F49)</f>
        <v>Unicities</v>
      </c>
      <c r="H49" t="b">
        <v>1</v>
      </c>
      <c r="I49" t="b">
        <v>1</v>
      </c>
      <c r="J49" t="b">
        <v>1</v>
      </c>
      <c r="K49" t="b">
        <v>1</v>
      </c>
    </row>
    <row r="50">
      <c r="A50">
        <f>ROW(A50)-1</f>
        <v>49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22</v>
      </c>
      <c r="G50" t="str" cm="1">
        <f t="array" ref="G50">GetValue("Tbl","Name",F50)</f>
        <v>Expressions</v>
      </c>
      <c r="H50" t="b">
        <v>1</v>
      </c>
      <c r="I50" t="b">
        <v>1</v>
      </c>
      <c r="J50" t="b">
        <v>1</v>
      </c>
      <c r="K50" t="b">
        <v>1</v>
      </c>
    </row>
    <row r="51">
      <c r="A51">
        <f>ROW(A51)-1</f>
        <v>50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23</v>
      </c>
      <c r="G51" t="str" cm="1">
        <f t="array" ref="G51">GetValue("Tbl","Name",F51)</f>
        <v>Conditions</v>
      </c>
      <c r="H51" t="b">
        <v>1</v>
      </c>
      <c r="I51" t="b">
        <v>1</v>
      </c>
      <c r="J51" t="b">
        <v>1</v>
      </c>
      <c r="K51" t="b">
        <v>1</v>
      </c>
    </row>
    <row r="52">
      <c r="A52">
        <f>ROW(A52)-1</f>
        <v>51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24</v>
      </c>
      <c r="G52" t="str" cm="1">
        <f t="array" ref="G52">GetValue("Tbl","Name",F52)</f>
        <v>References</v>
      </c>
      <c r="H52" t="b">
        <v>1</v>
      </c>
      <c r="I52" t="b">
        <v>1</v>
      </c>
      <c r="J52" t="b">
        <v>1</v>
      </c>
      <c r="K52" t="b">
        <v>1</v>
      </c>
    </row>
    <row r="53">
      <c r="A53">
        <f>ROW(A53)-1</f>
        <v>52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25</v>
      </c>
      <c r="G53" t="str" cm="1">
        <f t="array" ref="G53">GetValue("Tbl","Name",F53)</f>
        <v>Referencekeys</v>
      </c>
      <c r="H53" t="b">
        <v>1</v>
      </c>
      <c r="I53" t="b">
        <v>1</v>
      </c>
      <c r="J53" t="b">
        <v>1</v>
      </c>
      <c r="K53" t="b">
        <v>1</v>
      </c>
    </row>
    <row r="54">
      <c r="A54">
        <f>ROW(A54)-1</f>
        <v>53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26</v>
      </c>
      <c r="G54" t="str" cm="1">
        <f t="array" ref="G54">GetValue("Tbl","Name",F54)</f>
        <v>Users</v>
      </c>
      <c r="H54" t="b">
        <v>1</v>
      </c>
      <c r="I54" t="b">
        <v>1</v>
      </c>
      <c r="J54" t="b">
        <v>1</v>
      </c>
      <c r="K54" t="b">
        <v>1</v>
      </c>
    </row>
    <row r="55">
      <c r="A55">
        <f>ROW(A55)-1</f>
        <v>54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27</v>
      </c>
      <c r="G55" t="str" cm="1">
        <f t="array" ref="G55">GetValue("Tbl","Name",F55)</f>
        <v>Permissions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5" bottom="0.787401575" header="0.31496062" footer="0.31496062"/>
  <ignoredErrors>
    <ignoredError numberStoredAsText="1" sqref="A1:K55"/>
  </ignoredErrors>
</worksheet>
</file>

<file path=xl/worksheets/sheet28.xml><?xml version="1.0" encoding="utf-8"?>
<worksheet xmlns="http://schemas.openxmlformats.org/spreadsheetml/2006/main" xmlns:r="http://schemas.openxmlformats.org/officeDocument/2006/relationships">
  <dimension ref="A1:F20"/>
  <sheetViews>
    <sheetView workbookViewId="0" rightToLeft="0"/>
  </sheetViews>
  <sheetData>
    <row r="1">
      <c r="A1" t="str">
        <v>*Id</v>
      </c>
      <c r="B1" t="str">
        <v>Name</v>
      </c>
      <c r="C1" t="str">
        <v>CategoryId</v>
      </c>
      <c r="D1" t="str">
        <v>#CategoryName</v>
      </c>
      <c r="E1" t="str">
        <v>Description</v>
      </c>
      <c r="F1" t="str">
        <v>IsActive</v>
      </c>
    </row>
    <row r="2">
      <c r="A2">
        <f>ROW(A2)-1</f>
        <v>1</v>
      </c>
      <c r="B2" t="str">
        <v>disabled</v>
      </c>
      <c r="D2" t="str" cm="1">
        <f t="array" ref="D2">GetValue("Cat","Name",C2)</f>
        <v/>
      </c>
      <c r="E2" t="str">
        <v>Desabilita o elemento HTML</v>
      </c>
      <c r="F2" t="b">
        <v>1</v>
      </c>
    </row>
    <row r="3">
      <c r="A3">
        <f>ROW(A3)-1</f>
        <v>2</v>
      </c>
      <c r="B3" t="str">
        <v>enabled</v>
      </c>
      <c r="D3" t="str" cm="1">
        <f t="array" ref="D3">GetValue("Cat","Name",C3)</f>
        <v/>
      </c>
      <c r="E3" t="str">
        <v>Habilita o  elemento HTML</v>
      </c>
      <c r="F3" t="b">
        <v>1</v>
      </c>
    </row>
    <row r="4">
      <c r="A4">
        <f>ROW(A4)-1</f>
        <v>3</v>
      </c>
      <c r="B4" t="str">
        <v>hidden</v>
      </c>
      <c r="D4" t="str" cm="1">
        <f t="array" ref="D4">GetValue("Cat","Name",C4)</f>
        <v/>
      </c>
      <c r="E4" t="str">
        <v>Esconde o  elemento HTML</v>
      </c>
      <c r="F4" t="b">
        <v>1</v>
      </c>
    </row>
    <row r="5">
      <c r="A5">
        <f>ROW(A5)-1</f>
        <v>4</v>
      </c>
      <c r="B5" t="str">
        <v>visible</v>
      </c>
      <c r="D5" t="str" cm="1">
        <f t="array" ref="D5">GetValue("Cat","Name",C5)</f>
        <v/>
      </c>
      <c r="E5" t="str">
        <v>Mostra o  elemento HTML</v>
      </c>
      <c r="F5" t="b">
        <v>1</v>
      </c>
    </row>
    <row r="6">
      <c r="A6">
        <f>ROW(A6)-1</f>
        <v>5</v>
      </c>
      <c r="B6" t="str">
        <v>readonly</v>
      </c>
      <c r="D6" t="str" cm="1">
        <f t="array" ref="D6">GetValue("Cat","Name",C6)</f>
        <v/>
      </c>
      <c r="E6" t="str">
        <v>Torna o  elemento HTML somente leitura</v>
      </c>
      <c r="F6" t="b">
        <v>1</v>
      </c>
    </row>
    <row r="7">
      <c r="A7">
        <f>ROW(A7)-1</f>
        <v>6</v>
      </c>
      <c r="B7" t="str">
        <v>required</v>
      </c>
      <c r="D7" t="str" cm="1">
        <f t="array" ref="D7">GetValue("Cat","Name",C7)</f>
        <v/>
      </c>
      <c r="E7" t="str">
        <v>Torna o  elemento HTML obrigatório</v>
      </c>
      <c r="F7" t="b">
        <v>1</v>
      </c>
    </row>
    <row r="8">
      <c r="A8">
        <f>ROW(A8)-1</f>
        <v>7</v>
      </c>
      <c r="B8" t="str">
        <v>value</v>
      </c>
      <c r="C8">
        <v>10</v>
      </c>
      <c r="D8" t="str" cm="1">
        <f t="array" ref="D8">GetValue("Cat","Name",C8)</f>
        <v>undefined</v>
      </c>
      <c r="E8" t="str">
        <v>Define o valor do  elemento HTML</v>
      </c>
      <c r="F8" t="b">
        <v>1</v>
      </c>
    </row>
    <row r="9">
      <c r="A9">
        <f>ROW(A9)-1</f>
        <v>8</v>
      </c>
      <c r="B9" t="str">
        <v>placeholder</v>
      </c>
      <c r="C9">
        <v>1</v>
      </c>
      <c r="D9" t="str" cm="1">
        <f t="array" ref="D9">GetValue("Cat","Name",C9)</f>
        <v>string</v>
      </c>
      <c r="E9" t="str">
        <v>Define o texto placeholder (dica)</v>
      </c>
      <c r="F9" t="b">
        <v>1</v>
      </c>
    </row>
    <row r="10">
      <c r="A10">
        <f>ROW(A10)-1</f>
        <v>9</v>
      </c>
      <c r="B10" t="str">
        <v>title</v>
      </c>
      <c r="C10">
        <v>1</v>
      </c>
      <c r="D10" t="str" cm="1">
        <f t="array" ref="D10">GetValue("Cat","Name",C10)</f>
        <v>string</v>
      </c>
      <c r="E10" t="str">
        <v>Define o texto tooltip ao passar o mouse</v>
      </c>
      <c r="F10" t="b">
        <v>1</v>
      </c>
    </row>
    <row r="11">
      <c r="A11">
        <f>ROW(A11)-1</f>
        <v>10</v>
      </c>
      <c r="B11" t="str">
        <v>class</v>
      </c>
      <c r="C11">
        <v>1</v>
      </c>
      <c r="D11" t="str" cm="1">
        <f t="array" ref="D11">GetValue("Cat","Name",C11)</f>
        <v>string</v>
      </c>
      <c r="E11" t="str">
        <v>Define classes CSS aplicadas dinamicamente</v>
      </c>
      <c r="F11" t="b">
        <v>1</v>
      </c>
    </row>
    <row r="12">
      <c r="A12">
        <f>ROW(A12)-1</f>
        <v>11</v>
      </c>
      <c r="B12" t="str">
        <v>style</v>
      </c>
      <c r="C12">
        <v>1</v>
      </c>
      <c r="D12" t="str" cm="1">
        <f t="array" ref="D12">GetValue("Cat","Name",C12)</f>
        <v>string</v>
      </c>
      <c r="E12" t="str">
        <v>Define estilos CSS inline aplicados dinamicamente</v>
      </c>
      <c r="F12" t="b">
        <v>1</v>
      </c>
    </row>
    <row r="13">
      <c r="A13">
        <f>ROW(A13)-1</f>
        <v>12</v>
      </c>
      <c r="B13" t="str">
        <v>max</v>
      </c>
      <c r="C13">
        <v>10</v>
      </c>
      <c r="D13" t="str" cm="1">
        <f t="array" ref="D13">GetValue("Cat","Name",C13)</f>
        <v>undefined</v>
      </c>
      <c r="E13" t="str">
        <v>Define valor máximo</v>
      </c>
      <c r="F13" t="b">
        <v>1</v>
      </c>
    </row>
    <row r="14">
      <c r="A14">
        <f>ROW(A14)-1</f>
        <v>13</v>
      </c>
      <c r="B14" t="str">
        <v>min</v>
      </c>
      <c r="C14">
        <v>10</v>
      </c>
      <c r="D14" t="str" cm="1">
        <f t="array" ref="D14">GetValue("Cat","Name",C14)</f>
        <v>undefined</v>
      </c>
      <c r="E14" t="str">
        <v>Define valor mínimo</v>
      </c>
      <c r="F14" t="b">
        <v>1</v>
      </c>
    </row>
    <row r="15">
      <c r="A15">
        <f>ROW(A15)-1</f>
        <v>14</v>
      </c>
      <c r="B15" t="str">
        <v>maxlength</v>
      </c>
      <c r="C15">
        <v>2</v>
      </c>
      <c r="D15" t="str" cm="1">
        <f t="array" ref="D15">GetValue("Cat","Name",C15)</f>
        <v>number</v>
      </c>
      <c r="E15" t="str">
        <v>Define número máximo de caracteres</v>
      </c>
      <c r="F15" t="b">
        <v>1</v>
      </c>
    </row>
    <row r="16">
      <c r="A16">
        <f>ROW(A16)-1</f>
        <v>15</v>
      </c>
      <c r="B16" t="str">
        <v>minlength</v>
      </c>
      <c r="C16">
        <v>2</v>
      </c>
      <c r="D16" t="str" cm="1">
        <f t="array" ref="D16">GetValue("Cat","Name",C16)</f>
        <v>number</v>
      </c>
      <c r="E16" t="str">
        <v>Define número mínimo de caracteres</v>
      </c>
      <c r="F16" t="b">
        <v>1</v>
      </c>
    </row>
    <row r="17">
      <c r="A17">
        <f>ROW(A17)-1</f>
        <v>16</v>
      </c>
      <c r="B17" t="str">
        <v>step</v>
      </c>
      <c r="C17">
        <v>2</v>
      </c>
      <c r="D17" t="str" cm="1">
        <f t="array" ref="D17">GetValue("Cat","Name",C17)</f>
        <v>number</v>
      </c>
      <c r="E17" t="str">
        <v>Define o incremento para campos numéricos</v>
      </c>
      <c r="F17" t="b">
        <v>1</v>
      </c>
    </row>
    <row r="18">
      <c r="A18">
        <f>ROW(A18)-1</f>
        <v>17</v>
      </c>
      <c r="B18" t="str">
        <v>patternTitle</v>
      </c>
      <c r="C18">
        <v>1</v>
      </c>
      <c r="D18" t="str" cm="1">
        <f t="array" ref="D18">GetValue("Cat","Name",C18)</f>
        <v>string</v>
      </c>
      <c r="E18" t="str">
        <v>Define mensagem explicativa para falha no pattern</v>
      </c>
      <c r="F18" t="b">
        <v>1</v>
      </c>
    </row>
    <row r="19">
      <c r="A19">
        <f>ROW(A19)-1</f>
        <v>18</v>
      </c>
      <c r="B19" t="str">
        <v>aria-label</v>
      </c>
      <c r="C19">
        <v>1</v>
      </c>
      <c r="D19" t="str" cm="1">
        <f t="array" ref="D19">GetValue("Cat","Name",C19)</f>
        <v>string</v>
      </c>
      <c r="E19" t="str">
        <v>Define rótulo acessível para leitores de tela</v>
      </c>
      <c r="F19" t="b">
        <v>1</v>
      </c>
    </row>
    <row r="20">
      <c r="A20">
        <f>ROW(A20)-1</f>
        <v>19</v>
      </c>
      <c r="B20" t="str">
        <v>mask</v>
      </c>
      <c r="C20">
        <v>1</v>
      </c>
      <c r="D20" t="str" cm="1">
        <f t="array" ref="D20">GetValue("Cat","Name",C20)</f>
        <v>string</v>
      </c>
      <c r="E20" t="str">
        <v>Define a máscara de formatação aplicada ao campo</v>
      </c>
      <c r="F20" t="b">
        <v>1</v>
      </c>
    </row>
  </sheetData>
  <pageMargins left="0.511811024" right="0.511811024" top="0.787401575" bottom="0.787401575" header="0.31496062" footer="0.31496062"/>
  <ignoredErrors>
    <ignoredError numberStoredAsText="1" sqref="A1:F20"/>
  </ignoredErrors>
</worksheet>
</file>

<file path=xl/worksheets/sheet29.xml><?xml version="1.0" encoding="utf-8"?>
<worksheet xmlns="http://schemas.openxmlformats.org/spreadsheetml/2006/main" xmlns:r="http://schemas.openxmlformats.org/officeDocument/2006/relationships">
  <dimension ref="A1:I21"/>
  <sheetViews>
    <sheetView workbookViewId="0" rightToLeft="0"/>
  </sheetViews>
  <sheetData>
    <row r="1">
      <c r="A1" t="str">
        <v>*Id</v>
      </c>
      <c r="B1" t="str">
        <v>ColumnId</v>
      </c>
      <c r="C1" t="str">
        <v>#TableAlias</v>
      </c>
      <c r="D1" t="str">
        <v>#ColumnName</v>
      </c>
      <c r="E1" t="str">
        <v>ExpressionId</v>
      </c>
      <c r="F1" t="str">
        <v>#ExpressionName</v>
      </c>
      <c r="G1" t="str">
        <v>PropertyId</v>
      </c>
      <c r="H1" t="str">
        <v>#PropertyName</v>
      </c>
      <c r="I1" t="str">
        <v>Value</v>
      </c>
    </row>
    <row r="2">
      <c r="A2">
        <f>ROW(A2)-1</f>
        <v>1</v>
      </c>
      <c r="B2">
        <v>1</v>
      </c>
      <c r="C2" t="str" cm="1">
        <f t="array" ref="C2">GetValue("Col","#TableAlias",B2)</f>
        <v>Cat</v>
      </c>
      <c r="D2" t="str" cm="1">
        <f t="array" ref="D2">GetValue("Col","Name",B2)</f>
        <v>Id</v>
      </c>
      <c r="E2">
        <v>1</v>
      </c>
      <c r="F2" t="str" cm="1">
        <f t="array" ref="F2">GetValue("Exp","Name",E2)</f>
        <v>Expression 0001</v>
      </c>
      <c r="G2">
        <v>2</v>
      </c>
      <c r="H2" t="str" cm="1">
        <f t="array" ref="H2">GetValue("Prp","Name",G2)</f>
        <v>enabled</v>
      </c>
      <c r="I2" t="str">
        <v>disabled</v>
      </c>
    </row>
  </sheetData>
  <pageMargins left="0.511811024" right="0.511811024" top="0.787401575" bottom="0.787401575" header="0.31496062" footer="0.31496062"/>
  <ignoredErrors>
    <ignoredError numberStoredAsText="1" sqref="A1:I21"/>
  </ignoredErrors>
</worksheet>
</file>

<file path=xl/worksheets/sheet30.xml><?xml version="1.0" encoding="utf-8"?>
<worksheet xmlns="http://schemas.openxmlformats.org/spreadsheetml/2006/main" xmlns:r="http://schemas.openxmlformats.org/officeDocument/2006/relationships">
  <dimension ref="A1:N2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Name</v>
      </c>
      <c r="E1" t="str">
        <v>Interval</v>
      </c>
      <c r="F1" t="str">
        <v>Periodicity</v>
      </c>
      <c r="G1" t="str">
        <v>TimeOfDay</v>
      </c>
      <c r="H1" t="str">
        <v>DayOfMonth</v>
      </c>
      <c r="I1" t="str">
        <v>NextRunDate</v>
      </c>
      <c r="J1" t="str">
        <v>IsFirstOrLastDay</v>
      </c>
      <c r="K1" t="str">
        <v>IsBusinessDays</v>
      </c>
      <c r="L1" t="str">
        <v>IsRunOnce</v>
      </c>
      <c r="M1" t="str">
        <v>IsForwardHoliday</v>
      </c>
      <c r="N1" t="str">
        <v>IsActive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D2" t="str">
        <v>Sch001</v>
      </c>
      <c r="E2">
        <v>1</v>
      </c>
      <c r="F2" t="str">
        <v>day</v>
      </c>
      <c r="G2" s="1">
        <v>0.3333333333333333</v>
      </c>
      <c r="N2" t="b">
        <v>1</v>
      </c>
    </row>
  </sheetData>
  <pageMargins left="0.511811024" right="0.511811024" top="0.787401575" bottom="0.787401575" header="0.31496062" footer="0.31496062"/>
  <ignoredErrors>
    <ignoredError numberStoredAsText="1" sqref="A1:N2"/>
  </ignoredErrors>
</worksheet>
</file>

<file path=xl/worksheets/sheet31.xml><?xml version="1.0" encoding="utf-8"?>
<worksheet xmlns="http://schemas.openxmlformats.org/spreadsheetml/2006/main" xmlns:r="http://schemas.openxmlformats.org/officeDocument/2006/relationships">
  <dimension ref="A1:F2"/>
  <sheetViews>
    <sheetView workbookViewId="0" rightToLeft="0"/>
  </sheetViews>
  <sheetData>
    <row r="1">
      <c r="A1" t="str">
        <v>*Id</v>
      </c>
      <c r="B1" t="str">
        <v>TableId</v>
      </c>
      <c r="C1" t="str">
        <v>#TableName</v>
      </c>
      <c r="D1" t="str">
        <v>Name</v>
      </c>
      <c r="E1" t="str">
        <v>IsBefore</v>
      </c>
      <c r="F1" t="str">
        <v>IsActive</v>
      </c>
    </row>
    <row r="2">
      <c r="A2">
        <f>ROW(A2)-1</f>
        <v>1</v>
      </c>
      <c r="B2">
        <v>1</v>
      </c>
      <c r="C2" t="str" cm="1">
        <f t="array" ref="C2">GetValue("Tbl","Name",B2)</f>
        <v>Categories</v>
      </c>
      <c r="D2" t="str">
        <v>Snp0001</v>
      </c>
      <c r="E2" t="b">
        <v>1</v>
      </c>
      <c r="F2" t="b">
        <v>0</v>
      </c>
    </row>
  </sheetData>
  <pageMargins left="0.511811024" right="0.511811024" top="0.787401575" bottom="0.787401575" header="0.31496062" footer="0.31496062"/>
  <ignoredErrors>
    <ignoredError numberStoredAsText="1" sqref="A1:F2"/>
  </ignoredErrors>
</worksheet>
</file>

<file path=xl/worksheets/sheet32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*Id</v>
      </c>
      <c r="B1" t="str">
        <v>SniperId</v>
      </c>
      <c r="C1" t="str">
        <v>#SniperName</v>
      </c>
      <c r="D1" t="str">
        <v>DatabaseId</v>
      </c>
      <c r="E1" t="str">
        <v>#DatabaseName</v>
      </c>
      <c r="F1" t="str">
        <v>Sequence</v>
      </c>
      <c r="G1" t="str">
        <v>Script</v>
      </c>
    </row>
    <row r="2">
      <c r="A2">
        <f>ROW(A2)-1</f>
        <v>1</v>
      </c>
      <c r="B2">
        <v>1</v>
      </c>
      <c r="C2" t="str" cm="1">
        <f t="array" ref="C2">GetValue("Snp","Name",B2)</f>
        <v>Snp0001</v>
      </c>
      <c r="D2">
        <v>1</v>
      </c>
      <c r="E2" t="str" cm="1">
        <f t="array" ref="E2">GetValue("Db","Name",D2)</f>
        <v>crudex</v>
      </c>
      <c r="F2">
        <v>5</v>
      </c>
      <c r="G2" t="str">
        <v>SELECT * FROM Tables</v>
      </c>
    </row>
  </sheetData>
  <pageMargins left="0.511811024" right="0.511811024" top="0.787401575" bottom="0.787401575" header="0.31496062" footer="0.31496062"/>
  <ignoredErrors>
    <ignoredError numberStoredAsText="1" sqref="A1:G2"/>
  </ignoredErrors>
</worksheet>
</file>

<file path=xl/worksheets/sheet33.xml><?xml version="1.0" encoding="utf-8"?>
<worksheet xmlns="http://schemas.openxmlformats.org/spreadsheetml/2006/main" xmlns:r="http://schemas.openxmlformats.org/officeDocument/2006/relationships">
  <dimension ref="A1:F2"/>
  <sheetViews>
    <sheetView workbookViewId="0" rightToLeft="0"/>
  </sheetViews>
  <sheetData>
    <row r="1">
      <c r="A1" t="str">
        <v>*Id</v>
      </c>
      <c r="B1" t="str">
        <v>SniperId</v>
      </c>
      <c r="C1" t="str">
        <v>#SniperName</v>
      </c>
      <c r="D1" t="str">
        <v>Sequence</v>
      </c>
      <c r="E1" t="str">
        <v>Method</v>
      </c>
      <c r="F1" t="str">
        <v>URL</v>
      </c>
    </row>
    <row r="2">
      <c r="A2">
        <f>ROW(A2)-1</f>
        <v>1</v>
      </c>
      <c r="B2">
        <v>1</v>
      </c>
      <c r="C2" t="str" cm="1">
        <f t="array" ref="C2">GetValue("Snp","Name",B2)</f>
        <v>Snp0001</v>
      </c>
      <c r="D2">
        <v>10</v>
      </c>
      <c r="E2" t="str">
        <v>GET</v>
      </c>
      <c r="F2" t="str">
        <v>http://teste.com</v>
      </c>
    </row>
  </sheetData>
  <hyperlinks>
    <hyperlink ref="F2" r:id="rId1"/>
  </hyperlinks>
  <pageMargins left="0.511811024" right="0.511811024" top="0.787401575" bottom="0.787401575" header="0.31496062" footer="0.31496062"/>
  <ignoredErrors>
    <ignoredError numberStoredAsText="1" sqref="A1:F2"/>
  </ignoredErrors>
</worksheet>
</file>

<file path=xl/worksheets/sheet34.xml><?xml version="1.0" encoding="utf-8"?>
<worksheet xmlns="http://schemas.openxmlformats.org/spreadsheetml/2006/main" xmlns:r="http://schemas.openxmlformats.org/officeDocument/2006/relationships">
  <dimension ref="A1:I2"/>
  <sheetViews>
    <sheetView workbookViewId="0" rightToLeft="0"/>
  </sheetViews>
  <sheetData>
    <row r="1">
      <c r="A1" t="str">
        <v>*Id</v>
      </c>
      <c r="B1" t="str">
        <v>OwnertId</v>
      </c>
      <c r="C1" t="str">
        <v>#OwnerName</v>
      </c>
      <c r="D1" t="str">
        <v>SystemId</v>
      </c>
      <c r="E1" t="str">
        <v>#SystemName</v>
      </c>
      <c r="F1" t="str">
        <v>UserId</v>
      </c>
      <c r="G1" t="str">
        <v>#UserName</v>
      </c>
      <c r="H1" t="str">
        <v>PublicKey</v>
      </c>
      <c r="I1" t="str">
        <v>IsLogged</v>
      </c>
    </row>
    <row r="2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GetValue("Sys","Name",D2)</f>
        <v>crudex</v>
      </c>
      <c r="F2">
        <v>1</v>
      </c>
      <c r="G2" t="str" cm="1">
        <f t="array" ref="G2">GetValue("Usr","Name",F2)</f>
        <v>adm</v>
      </c>
      <c r="I2" t="b">
        <v>0</v>
      </c>
    </row>
  </sheetData>
  <pageMargins left="0.511811024" right="0.511811024" top="0.787401575" bottom="0.787401575" header="0.31496062" footer="0.31496062"/>
  <ignoredErrors>
    <ignoredError numberStoredAsText="1" sqref="A1:I2"/>
  </ignoredErrors>
</worksheet>
</file>

<file path=xl/worksheets/sheet35.xml><?xml version="1.0" encoding="utf-8"?>
<worksheet xmlns="http://schemas.openxmlformats.org/spreadsheetml/2006/main" xmlns:r="http://schemas.openxmlformats.org/officeDocument/2006/relationships">
  <dimension ref="A1:C2"/>
  <sheetViews>
    <sheetView workbookViewId="0" rightToLeft="0"/>
  </sheetViews>
  <sheetData>
    <row r="1">
      <c r="A1" t="str">
        <v>*Id</v>
      </c>
      <c r="B1" t="str">
        <v>SessionId</v>
      </c>
      <c r="C1" t="str">
        <v>IsConfirmed</v>
      </c>
    </row>
    <row r="2">
      <c r="A2">
        <f>ROW(A2)-1</f>
        <v>1</v>
      </c>
      <c r="B2">
        <v>1</v>
      </c>
      <c r="C2" t="b">
        <v>0</v>
      </c>
    </row>
  </sheetData>
  <pageMargins left="0.511811024" right="0.511811024" top="0.787401575" bottom="0.787401575" header="0.31496062" footer="0.31496062"/>
  <ignoredErrors>
    <ignoredError numberStoredAsText="1" sqref="A1:C2"/>
  </ignoredErrors>
</worksheet>
</file>

<file path=xl/worksheets/sheet36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*Id</v>
      </c>
      <c r="B1" t="str">
        <v>TransactionId</v>
      </c>
      <c r="C1" t="str">
        <v>TableName</v>
      </c>
      <c r="D1" t="str">
        <v>Action</v>
      </c>
      <c r="E1" t="str">
        <v>LastRecord</v>
      </c>
      <c r="F1" t="str">
        <v>ActualRecord</v>
      </c>
      <c r="G1" t="str">
        <v>IsConfirmed</v>
      </c>
    </row>
    <row r="2">
      <c r="A2">
        <f>ROW(A2)-1</f>
        <v>1</v>
      </c>
      <c r="B2">
        <v>1</v>
      </c>
      <c r="C2" t="str">
        <v>Tables</v>
      </c>
      <c r="D2" t="str">
        <v>update</v>
      </c>
      <c r="E2" t="str">
        <v>{}</v>
      </c>
      <c r="F2" t="str">
        <v>{}</v>
      </c>
      <c r="G2" t="b">
        <v>0</v>
      </c>
    </row>
  </sheetData>
  <pageMargins left="0.511811024" right="0.511811024" top="0.787401575" bottom="0.787401575" header="0.31496062" footer="0.31496062"/>
  <ignoredErrors>
    <ignoredError numberStoredAsText="1" sqref="A1:G2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Db</vt:lpstr>
      <vt:lpstr>Env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2024-02-10T11:10:23Z</dcterms:created>
  <dcterms:modified xsi:type="dcterms:W3CDTF">2026-06-22T19:44:39Z</dcterms:modified>
  <cp:lastModifiedBy>João Rocha Labrego</cp:lastModifiedBy>
  <dc:creator>João Rocha Labrego</dc:creator>
</cp:coreProperties>
</file>